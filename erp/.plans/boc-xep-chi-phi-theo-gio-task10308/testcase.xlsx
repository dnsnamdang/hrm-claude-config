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cXepTheoG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5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16" customWidth="1" min="3" max="3"/>
    <col width="46" customWidth="1" min="4" max="4"/>
    <col width="10" customWidth="1" min="5" max="5"/>
    <col width="32" customWidth="1" min="6" max="6"/>
    <col width="52" customWidth="1" min="7" max="7"/>
    <col width="22" customWidth="1" min="8" max="8"/>
    <col width="62" customWidth="1" min="9" max="9"/>
    <col width="35" customWidth="1" min="10" max="10"/>
    <col width="18" customWidth="1" min="11" max="11"/>
    <col width="16" customWidth="1" min="12" max="12"/>
    <col width="16" customWidth="1" min="13" max="13"/>
    <col width="16" customWidth="1" min="14" max="14"/>
    <col width="22" customWidth="1" min="15" max="15"/>
  </cols>
  <sheetData>
    <row r="1" ht="22" customHeight="1">
      <c r="A1" s="1" t="inlineStr">
        <is>
          <t>MÔ TẢ TÍNH NĂNG (đọc trước khi xem testcase)</t>
        </is>
      </c>
    </row>
    <row r="2" ht="40" customHeight="1">
      <c r="A2" s="2" t="inlineStr">
        <is>
          <t>1. Mục đích tính năng</t>
        </is>
      </c>
      <c r="B2" s="3" t="inlineStr">
        <is>
          <t>Cập nhật logic Tab BỐC XẾP trên Phiếu xuất kho (warehouse_exports) và Phiếu xuất hàng (product_exports): bổ sung cách tính chi phí bốc xếp/vận chuyển THEO THỜI GIAN (số giờ × đơn giá/giờ), bên cạnh cách cũ theo TRỌNG LƯỢNG (số tấn × đơn giá/tấn). Mỗi dòng bốc xếp chọn 1 trong 2 loại tính (loại trừ nhau).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5" t="n"/>
    </row>
    <row r="3" ht="94" customHeight="1">
      <c r="A3" s="2" t="inlineStr">
        <is>
          <t>2. Đối tượng được tính / hiển thị</t>
        </is>
      </c>
      <c r="B3" s="3" t="inlineStr">
        <is>
          <t>► Tab bốc xếp có 2 checkbox loại trừ: is_weight (theo trọng lượng) / is_time (theo thời gian). Bật cái này tự tắt cái kia; phải chọn ≥ 1.
► is_weight: nhãn 'Khối lượng hàng (Tấn)', đơn giá price (đ/tấn), company_price.
► is_time: nhãn 'Số giờ', đơn giá price_hour (đ/giờ), company_price_hour.
► Thành tiền (total_money) = đơn giá áp dụng × số lượng (tấn hoặc giờ). + VAT (vat_price = total × vat%), thành tiền sau VAT.
► Định mức bốc xếp (ArrangeGood): cấu hình is_weight/is_time + price/price_hour + company_price/company_price_hour; cột giá hiển thị dạng 'tấn/giờ'.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5" t="n"/>
    </row>
    <row r="4" ht="46" customHeight="1">
      <c r="A4" s="2" t="inlineStr">
        <is>
          <t>3. Đối tượng bị ẩn / không tính</t>
        </is>
      </c>
      <c r="B4" s="3" t="inlineStr">
        <is>
          <t>► Dòng không chọn loại tính nào (is_weight=0 &amp; is_time=0) → bị chặn lưu.
► Khi is_weight: bỏ qua price_hour/company_price_hour (=0). Khi is_time: bỏ qua price/company_price (=0).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5" t="n"/>
    </row>
    <row r="5" ht="40" customHeight="1">
      <c r="A5" s="2" t="inlineStr">
        <is>
          <t>4. Bộ lọc thời gian áp dụng cho</t>
        </is>
      </c>
      <c r="B5" s="3" t="inlineStr">
        <is>
          <t>— Không áp dụng (đây là tính chi phí trên phiếu, không phải bộ lọc báo cáo).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5" t="n"/>
    </row>
    <row r="6" ht="62" customHeight="1">
      <c r="A6" s="2" t="inlineStr">
        <is>
          <t>5. Cấu trúc dữ liệu / cây phân cấp</t>
        </is>
      </c>
      <c r="B6" s="3" t="inlineStr">
        <is>
          <t>arrange_goods (định mức): + is_weight, is_time, company_price_hour, price_hour (ngoài price, company_price).
arrange_deliveries (dòng bốc xếp trên phiếu): + is_weight; lưu is_weight/is_time, weight(=tấn hoặc giờ), price, total_money, vat...
Gắn phiếu: ProductImportExportArrangeDelivery / WarehouseImportExportArrangeDelivery.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5" t="n"/>
    </row>
    <row r="7" ht="40" customHeight="1">
      <c r="A7" s="2" t="inlineStr">
        <is>
          <t>6. Quy tắc cộng dồn / deduplicate</t>
        </is>
      </c>
      <c r="B7" s="3" t="inlineStr">
        <is>
          <t>Mỗi dòng bốc xếp tính độc lập: total_money = đơn giá × số lượng. Tab bốc xếp có thể nhiều dòng; tổng = cộng các dòng. is_weight/is_time loại trừ trên từng dòng.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5" t="n"/>
    </row>
    <row r="8" ht="40" customHeight="1">
      <c r="A8" s="2" t="inlineStr">
        <is>
          <t>7. Phân quyền cấp</t>
        </is>
      </c>
      <c r="B8" s="3" t="inlineStr">
        <is>
          <t>• Theo quyền lập/sửa Phiếu xuất kho / Phiếu xuất hàng tương ứng (không có permission code riêng cho tab bốc xếp).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5" t="n"/>
    </row>
    <row r="9" ht="62" customHeight="1">
      <c r="A9" s="2" t="inlineStr">
        <is>
          <t>8. Cách tính các ô thống kê</t>
        </is>
      </c>
      <c r="B9" s="3" t="inlineStr">
        <is>
          <t>► total_money = is_weight ? (price × tấn) : (price_hour × giờ) [dùng chung field số lượng].
► vat_price = total_money × vat / 100.
► after_total_money = total_money + vat_price.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5" t="n"/>
    </row>
    <row r="10" ht="40" customHeight="1">
      <c r="A10" s="2" t="inlineStr">
        <is>
          <t>9. Ghi chú đọc bảng</t>
        </is>
      </c>
      <c r="B10" s="3" t="inlineStr">
        <is>
          <t>Angular &lt;% %&gt;. Toggle is_weight/is_time bằng 2 checkbox loại trừ; đổi loại sẽ gọi change() set lại đơn giá theo định mức. Validation BE: ArrangeDeliveryRequest (required_if + ≥1 loại). Áp dụng cho cả phiếu xuất kho lẫn phiếu xuất hàng (cùng component bốc xếp).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5" t="n"/>
    </row>
    <row r="11" ht="28" customHeight="1">
      <c r="A11" s="6" t="inlineStr">
        <is>
          <t>Testcase _ Tab bốc xếp — chi phí vận chuyển theo thời gian (task_10308)</t>
        </is>
      </c>
      <c r="F11" s="7" t="inlineStr">
        <is>
          <t>TEST SUMMARY</t>
        </is>
      </c>
      <c r="I11" s="8" t="inlineStr">
        <is>
          <t>Số trường hợp kiểm thử đạt (P):</t>
        </is>
      </c>
      <c r="J11" s="4" t="n"/>
      <c r="K11" s="5" t="n"/>
      <c r="L11" s="9">
        <f>COUNTIF(L18:N500,"Passed")</f>
        <v/>
      </c>
      <c r="M11" s="4" t="n"/>
      <c r="N11" s="4" t="n"/>
      <c r="O11" s="5" t="n"/>
    </row>
    <row r="12" ht="22" customHeight="1">
      <c r="I12" s="8" t="inlineStr">
        <is>
          <t>Số trường hợp kiểm thử không đạt (F):</t>
        </is>
      </c>
      <c r="J12" s="4" t="n"/>
      <c r="K12" s="5" t="n"/>
      <c r="L12" s="9">
        <f>COUNTIF(L18:N500,"Failed")</f>
        <v/>
      </c>
      <c r="M12" s="4" t="n"/>
      <c r="N12" s="4" t="n"/>
      <c r="O12" s="5" t="n"/>
    </row>
    <row r="13" ht="22" customHeight="1">
      <c r="I13" s="8" t="inlineStr">
        <is>
          <t>Số trường hợp kiểm thử đang xem xét (PE):</t>
        </is>
      </c>
      <c r="J13" s="4" t="n"/>
      <c r="K13" s="5" t="n"/>
      <c r="L13" s="9">
        <f>COUNTIF(L18:N500,"Pending")</f>
        <v/>
      </c>
      <c r="M13" s="4" t="n"/>
      <c r="N13" s="4" t="n"/>
      <c r="O13" s="5" t="n"/>
    </row>
    <row r="14" ht="22" customHeight="1">
      <c r="I14" s="8" t="inlineStr">
        <is>
          <t>Số trường hợp kiểm thử chưa thực hiện:</t>
        </is>
      </c>
      <c r="J14" s="4" t="n"/>
      <c r="K14" s="5" t="n"/>
      <c r="L14" s="9">
        <f>COUNTIF(L18:N500,"Not Executed")</f>
        <v/>
      </c>
      <c r="M14" s="4" t="n"/>
      <c r="N14" s="4" t="n"/>
      <c r="O14" s="5" t="n"/>
    </row>
    <row r="15" ht="22" customHeight="1">
      <c r="I15" s="8" t="inlineStr">
        <is>
          <t>Tổng số trường hợp kiểm thử:</t>
        </is>
      </c>
      <c r="J15" s="4" t="n"/>
      <c r="K15" s="5" t="n"/>
      <c r="L15" s="9">
        <f>COUNTIF(L18:N500,"&lt;&gt;")</f>
        <v/>
      </c>
      <c r="M15" s="4" t="n"/>
      <c r="N15" s="4" t="n"/>
      <c r="O15" s="5" t="n"/>
    </row>
    <row r="16" ht="8" customHeight="1"/>
    <row r="17" ht="36" customHeight="1">
      <c r="A17" s="10" t="inlineStr">
        <is>
          <t>Module</t>
        </is>
      </c>
      <c r="B17" s="10" t="inlineStr">
        <is>
          <t>Nhóm chức năng</t>
        </is>
      </c>
      <c r="C17" s="10" t="inlineStr">
        <is>
          <t>TC ID</t>
        </is>
      </c>
      <c r="D17" s="10" t="inlineStr">
        <is>
          <t>Chức năng</t>
        </is>
      </c>
      <c r="E17" s="10" t="inlineStr">
        <is>
          <t>Priority</t>
        </is>
      </c>
      <c r="F17" s="10" t="inlineStr">
        <is>
          <t>Tiền điều kiện</t>
        </is>
      </c>
      <c r="G17" s="10" t="inlineStr">
        <is>
          <t>Bước thực hiện</t>
        </is>
      </c>
      <c r="H17" s="10" t="inlineStr">
        <is>
          <t>Test Data</t>
        </is>
      </c>
      <c r="I17" s="10" t="inlineStr">
        <is>
          <t>Expected Result (chi tiết)</t>
        </is>
      </c>
      <c r="J17" s="10" t="inlineStr">
        <is>
          <t>Giải thích nghiệp vụ</t>
        </is>
      </c>
      <c r="K17" s="10" t="inlineStr">
        <is>
          <t>KQ thực tế</t>
        </is>
      </c>
      <c r="L17" s="10" t="inlineStr">
        <is>
          <t>trạng thái check lần 1</t>
        </is>
      </c>
      <c r="M17" s="10" t="inlineStr">
        <is>
          <t>trạng thái check lần 2</t>
        </is>
      </c>
      <c r="N17" s="10" t="inlineStr">
        <is>
          <t>trạng thái check lần 3</t>
        </is>
      </c>
      <c r="O17" s="10" t="inlineStr">
        <is>
          <t>Ghi chú</t>
        </is>
      </c>
    </row>
    <row r="18" ht="26" customHeight="1">
      <c r="A18" s="11" t="n"/>
      <c r="B18" s="11" t="n"/>
      <c r="C18" s="12" t="inlineStr">
        <is>
          <t>I. HIỂN THỊ TAB BỐC XẾP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5" t="n"/>
    </row>
    <row r="19" ht="46" customHeight="1">
      <c r="A19" s="3" t="inlineStr">
        <is>
          <t>Bốc xếp (xuất kho/xuất hàng)</t>
        </is>
      </c>
      <c r="B19" s="3" t="inlineStr">
        <is>
          <t>HIỂN THỊ TAB BỐC XẾP</t>
        </is>
      </c>
      <c r="C19" s="3" t="inlineStr">
        <is>
          <t>TC_01.001</t>
        </is>
      </c>
      <c r="D19" s="3" t="inlineStr">
        <is>
          <t>Tab bốc xếp hiển thị trên Phiếu xuất kho</t>
        </is>
      </c>
      <c r="E19" s="13" t="inlineStr">
        <is>
          <t>P0</t>
        </is>
      </c>
      <c r="F19" s="3" t="inlineStr">
        <is>
          <t>Mở tạo/sửa Phiếu xuất kho (warehouse_exports)</t>
        </is>
      </c>
      <c r="G19" s="3" t="inlineStr">
        <is>
          <t>1. Vào Tab bốc xếp</t>
        </is>
      </c>
      <c r="H19" s="3" t="inlineStr">
        <is>
          <t>—</t>
        </is>
      </c>
      <c r="I19" s="3" t="inlineStr">
        <is>
          <t>- Hiện 2 checkbox: 'Theo trọng lượng' (is_weight), 'Theo thời gian' (is_time)
- Có chọn loại thuê (rent_type), loại bốc xếp (arrange_type)</t>
        </is>
      </c>
      <c r="J19" s="3" t="inlineStr">
        <is>
          <t>task_10308: + is_time/price_hour</t>
        </is>
      </c>
      <c r="K19" s="3" t="inlineStr"/>
      <c r="L19" s="3" t="inlineStr">
        <is>
          <t>Not Executed</t>
        </is>
      </c>
      <c r="M19" s="3" t="inlineStr">
        <is>
          <t>Not Executed</t>
        </is>
      </c>
      <c r="N19" s="3" t="inlineStr">
        <is>
          <t>Not Executed</t>
        </is>
      </c>
      <c r="O19" s="3" t="inlineStr"/>
    </row>
    <row r="20" ht="31" customHeight="1">
      <c r="A20" s="14" t="inlineStr">
        <is>
          <t>Bốc xếp (xuất kho/xuất hàng)</t>
        </is>
      </c>
      <c r="B20" s="14" t="inlineStr">
        <is>
          <t>HIỂN THỊ TAB BỐC XẾP</t>
        </is>
      </c>
      <c r="C20" s="14" t="inlineStr">
        <is>
          <t>TC_01.002</t>
        </is>
      </c>
      <c r="D20" s="14" t="inlineStr">
        <is>
          <t>Tab bốc xếp hiển thị trên Phiếu xuất hàng</t>
        </is>
      </c>
      <c r="E20" s="15" t="inlineStr">
        <is>
          <t>P0</t>
        </is>
      </c>
      <c r="F20" s="14" t="inlineStr">
        <is>
          <t>Mở tạo/sửa Phiếu xuất hàng (product_exports)</t>
        </is>
      </c>
      <c r="G20" s="14" t="inlineStr">
        <is>
          <t>1. Vào Tab bốc xếp</t>
        </is>
      </c>
      <c r="H20" s="14" t="inlineStr">
        <is>
          <t>—</t>
        </is>
      </c>
      <c r="I20" s="14" t="inlineStr">
        <is>
          <t>- Tab bốc xếp giống phiếu xuất kho: 2 checkbox is_weight/is_time + đơn giá/số lượng tương ứng</t>
        </is>
      </c>
      <c r="J20" s="14" t="inlineStr">
        <is>
          <t>cùng component arrange_delivery</t>
        </is>
      </c>
      <c r="K20" s="14" t="inlineStr"/>
      <c r="L20" s="14" t="inlineStr">
        <is>
          <t>Not Executed</t>
        </is>
      </c>
      <c r="M20" s="14" t="inlineStr">
        <is>
          <t>Not Executed</t>
        </is>
      </c>
      <c r="N20" s="14" t="inlineStr">
        <is>
          <t>Not Executed</t>
        </is>
      </c>
      <c r="O20" s="14" t="inlineStr"/>
    </row>
    <row r="21" ht="30" customHeight="1">
      <c r="A21" s="3" t="inlineStr">
        <is>
          <t>Bốc xếp (xuất kho/xuất hàng)</t>
        </is>
      </c>
      <c r="B21" s="3" t="inlineStr">
        <is>
          <t>HIỂN THỊ TAB BỐC XẾP</t>
        </is>
      </c>
      <c r="C21" s="3" t="inlineStr">
        <is>
          <t>TC_01.003</t>
        </is>
      </c>
      <c r="D21" s="3" t="inlineStr">
        <is>
          <t>Nhãn số lượng đổi theo loại tính</t>
        </is>
      </c>
      <c r="E21" s="13" t="inlineStr">
        <is>
          <t>P0</t>
        </is>
      </c>
      <c r="F21" s="3" t="inlineStr">
        <is>
          <t>Tab bốc xếp</t>
        </is>
      </c>
      <c r="G21" s="3" t="inlineStr">
        <is>
          <t>1. Bật 'Theo trọng lượng' → xem nhãn
2. Bật 'Theo thời gian' → xem nhãn</t>
        </is>
      </c>
      <c r="H21" s="3" t="inlineStr">
        <is>
          <t>—</t>
        </is>
      </c>
      <c r="I21" s="3" t="inlineStr">
        <is>
          <t>- is_weight: nhãn 'Khối lượng hàng (Tấn)'
- is_time: nhãn 'Số giờ'</t>
        </is>
      </c>
      <c r="J21" s="3" t="inlineStr">
        <is>
          <t>ng-if is_weight ? Tấn : Số giờ</t>
        </is>
      </c>
      <c r="K21" s="3" t="inlineStr"/>
      <c r="L21" s="3" t="inlineStr">
        <is>
          <t>Not Executed</t>
        </is>
      </c>
      <c r="M21" s="3" t="inlineStr">
        <is>
          <t>Not Executed</t>
        </is>
      </c>
      <c r="N21" s="3" t="inlineStr">
        <is>
          <t>Not Executed</t>
        </is>
      </c>
      <c r="O21" s="3" t="inlineStr"/>
    </row>
    <row r="22" ht="30" customHeight="1">
      <c r="A22" s="14" t="inlineStr">
        <is>
          <t>Bốc xếp (xuất kho/xuất hàng)</t>
        </is>
      </c>
      <c r="B22" s="14" t="inlineStr">
        <is>
          <t>HIỂN THỊ TAB BỐC XẾP</t>
        </is>
      </c>
      <c r="C22" s="14" t="inlineStr">
        <is>
          <t>TC_01.004</t>
        </is>
      </c>
      <c r="D22" s="14" t="inlineStr">
        <is>
          <t>Mặc định loại tính khi mở mới</t>
        </is>
      </c>
      <c r="E22" s="15" t="inlineStr">
        <is>
          <t>P1</t>
        </is>
      </c>
      <c r="F22" s="14" t="inlineStr">
        <is>
          <t>Tạo phiếu mới</t>
        </is>
      </c>
      <c r="G22" s="14" t="inlineStr">
        <is>
          <t>1. Mở Tab bốc xếp</t>
        </is>
      </c>
      <c r="H22" s="14" t="inlineStr">
        <is>
          <t>—</t>
        </is>
      </c>
      <c r="I22" s="14" t="inlineStr">
        <is>
          <t>- Mặc định is_weight = 1 (theo trọng lượng), is_time = 0</t>
        </is>
      </c>
      <c r="J22" s="14" t="inlineStr">
        <is>
          <t>default is_weight=1</t>
        </is>
      </c>
      <c r="K22" s="14" t="inlineStr"/>
      <c r="L22" s="14" t="inlineStr">
        <is>
          <t>Not Executed</t>
        </is>
      </c>
      <c r="M22" s="14" t="inlineStr">
        <is>
          <t>Not Executed</t>
        </is>
      </c>
      <c r="N22" s="14" t="inlineStr">
        <is>
          <t>Not Executed</t>
        </is>
      </c>
      <c r="O22" s="14" t="inlineStr"/>
    </row>
    <row r="23" ht="26" customHeight="1">
      <c r="A23" s="11" t="n"/>
      <c r="B23" s="11" t="n"/>
      <c r="C23" s="12" t="inlineStr">
        <is>
          <t>V. CHỨC NĂNG — TÍNH CHI PHÍ BỐC XẾP</t>
        </is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5" t="n"/>
    </row>
    <row r="24" ht="30" customHeight="1">
      <c r="A24" s="3" t="inlineStr">
        <is>
          <t>Bốc xếp (xuất kho/xuất hàng)</t>
        </is>
      </c>
      <c r="B24" s="3" t="inlineStr">
        <is>
          <t>CHỨC NĂNG — TÍNH CHI PHÍ BỐC XẾP</t>
        </is>
      </c>
      <c r="C24" s="3" t="inlineStr">
        <is>
          <t>TC_05.001</t>
        </is>
      </c>
      <c r="D24" s="3" t="inlineStr">
        <is>
          <t>[Trọng lượng] Tính chi phí theo Tấn</t>
        </is>
      </c>
      <c r="E24" s="13" t="inlineStr">
        <is>
          <t>P0</t>
        </is>
      </c>
      <c r="F24" s="3" t="inlineStr">
        <is>
          <t>Tab bốc xếp; chọn 'Theo trọng lượng'; đơn giá price = 100.000 đ/tấn</t>
        </is>
      </c>
      <c r="G24" s="3" t="inlineStr">
        <is>
          <t>1. Bật is_weight
2. Nhập Khối lượng = 5 (tấn)
3. Quan sát thành tiền</t>
        </is>
      </c>
      <c r="H24" s="3" t="inlineStr">
        <is>
          <t>price=100.000, tấn=5</t>
        </is>
      </c>
      <c r="I24" s="3" t="inlineStr">
        <is>
          <t>- Thành tiền (total_money) = 100.000 × 5 = 500.000</t>
        </is>
      </c>
      <c r="J24" s="3" t="inlineStr">
        <is>
          <t>total_money = price × weight</t>
        </is>
      </c>
      <c r="K24" s="3" t="inlineStr"/>
      <c r="L24" s="3" t="inlineStr">
        <is>
          <t>Not Executed</t>
        </is>
      </c>
      <c r="M24" s="3" t="inlineStr">
        <is>
          <t>Not Executed</t>
        </is>
      </c>
      <c r="N24" s="3" t="inlineStr">
        <is>
          <t>Not Executed</t>
        </is>
      </c>
      <c r="O24" s="3" t="inlineStr"/>
    </row>
    <row r="25" ht="30" customHeight="1">
      <c r="A25" s="14" t="inlineStr">
        <is>
          <t>Bốc xếp (xuất kho/xuất hàng)</t>
        </is>
      </c>
      <c r="B25" s="14" t="inlineStr">
        <is>
          <t>CHỨC NĂNG — TÍNH CHI PHÍ BỐC XẾP</t>
        </is>
      </c>
      <c r="C25" s="14" t="inlineStr">
        <is>
          <t>TC_05.002</t>
        </is>
      </c>
      <c r="D25" s="14" t="inlineStr">
        <is>
          <t>[Thời gian] Tính chi phí theo Giờ</t>
        </is>
      </c>
      <c r="E25" s="15" t="inlineStr">
        <is>
          <t>P0</t>
        </is>
      </c>
      <c r="F25" s="14" t="inlineStr">
        <is>
          <t>Tab bốc xếp; chọn 'Theo thời gian'; đơn giá/giờ price_hour = 80.000</t>
        </is>
      </c>
      <c r="G25" s="14" t="inlineStr">
        <is>
          <t>1. Bật is_time
2. Nhập Số giờ = 3
3. Quan sát thành tiền</t>
        </is>
      </c>
      <c r="H25" s="14" t="inlineStr">
        <is>
          <t>price_hour=80.000, giờ=3</t>
        </is>
      </c>
      <c r="I25" s="14" t="inlineStr">
        <is>
          <t>- Thành tiền = 80.000 × 3 = 240.000 (tính theo thời gian)</t>
        </is>
      </c>
      <c r="J25" s="14" t="inlineStr">
        <is>
          <t>total_money = price_hour × số giờ</t>
        </is>
      </c>
      <c r="K25" s="14" t="inlineStr"/>
      <c r="L25" s="14" t="inlineStr">
        <is>
          <t>Not Executed</t>
        </is>
      </c>
      <c r="M25" s="14" t="inlineStr">
        <is>
          <t>Not Executed</t>
        </is>
      </c>
      <c r="N25" s="14" t="inlineStr">
        <is>
          <t>Not Executed</t>
        </is>
      </c>
      <c r="O25" s="14" t="inlineStr"/>
    </row>
    <row r="26" ht="30" customHeight="1">
      <c r="A26" s="3" t="inlineStr">
        <is>
          <t>Bốc xếp (xuất kho/xuất hàng)</t>
        </is>
      </c>
      <c r="B26" s="3" t="inlineStr">
        <is>
          <t>CHỨC NĂNG — TÍNH CHI PHÍ BỐC XẾP</t>
        </is>
      </c>
      <c r="C26" s="3" t="inlineStr">
        <is>
          <t>TC_05.003</t>
        </is>
      </c>
      <c r="D26" s="3" t="inlineStr">
        <is>
          <t>Toggle Theo trọng lượng ↔ Theo thời gian (loại trừ)</t>
        </is>
      </c>
      <c r="E26" s="13" t="inlineStr">
        <is>
          <t>P0</t>
        </is>
      </c>
      <c r="F26" s="3" t="inlineStr">
        <is>
          <t>Đang bật is_weight</t>
        </is>
      </c>
      <c r="G26" s="3" t="inlineStr">
        <is>
          <t>1. Bật 'Theo thời gian'</t>
        </is>
      </c>
      <c r="H26" s="3" t="inlineStr">
        <is>
          <t>—</t>
        </is>
      </c>
      <c r="I26" s="3" t="inlineStr">
        <is>
          <t>- is_time=1 thì is_weight tự về 0 (và ngược lại); chỉ 1 loại active</t>
        </is>
      </c>
      <c r="J26" s="3" t="inlineStr">
        <is>
          <t>is_weight ? is_time=0 (ng-change)</t>
        </is>
      </c>
      <c r="K26" s="3" t="inlineStr"/>
      <c r="L26" s="3" t="inlineStr">
        <is>
          <t>Not Executed</t>
        </is>
      </c>
      <c r="M26" s="3" t="inlineStr">
        <is>
          <t>Not Executed</t>
        </is>
      </c>
      <c r="N26" s="3" t="inlineStr">
        <is>
          <t>Not Executed</t>
        </is>
      </c>
      <c r="O26" s="3" t="inlineStr"/>
    </row>
    <row r="27" ht="31" customHeight="1">
      <c r="A27" s="14" t="inlineStr">
        <is>
          <t>Bốc xếp (xuất kho/xuất hàng)</t>
        </is>
      </c>
      <c r="B27" s="14" t="inlineStr">
        <is>
          <t>CHỨC NĂNG — TÍNH CHI PHÍ BỐC XẾP</t>
        </is>
      </c>
      <c r="C27" s="14" t="inlineStr">
        <is>
          <t>TC_05.004</t>
        </is>
      </c>
      <c r="D27" s="14" t="inlineStr">
        <is>
          <t>Chọn định mức bốc xếp tự set đơn giá</t>
        </is>
      </c>
      <c r="E27" s="15" t="inlineStr">
        <is>
          <t>P1</t>
        </is>
      </c>
      <c r="F27" s="14" t="inlineStr">
        <is>
          <t>Có định mức ArrangeGood: price=100k/tấn, price_hour=80k/giờ</t>
        </is>
      </c>
      <c r="G27" s="14" t="inlineStr">
        <is>
          <t>1. Chọn arrange_type (định mức)
2. Bật theo giờ
3. Quan sát đơn giá</t>
        </is>
      </c>
      <c r="H27" s="14" t="inlineStr">
        <is>
          <t>—</t>
        </is>
      </c>
      <c r="I27" s="14" t="inlineStr">
        <is>
          <t>- Đơn giá tự set theo loại: is_weight→price(100k), is_time→price_hour(80k); change() cập nhật</t>
        </is>
      </c>
      <c r="J27" s="14" t="inlineStr">
        <is>
          <t>change(arrange_type, rent_type)</t>
        </is>
      </c>
      <c r="K27" s="14" t="inlineStr"/>
      <c r="L27" s="14" t="inlineStr">
        <is>
          <t>Not Executed</t>
        </is>
      </c>
      <c r="M27" s="14" t="inlineStr">
        <is>
          <t>Not Executed</t>
        </is>
      </c>
      <c r="N27" s="14" t="inlineStr">
        <is>
          <t>Not Executed</t>
        </is>
      </c>
      <c r="O27" s="14" t="inlineStr"/>
    </row>
    <row r="28" ht="30" customHeight="1">
      <c r="A28" s="3" t="inlineStr">
        <is>
          <t>Bốc xếp (xuất kho/xuất hàng)</t>
        </is>
      </c>
      <c r="B28" s="3" t="inlineStr">
        <is>
          <t>CHỨC NĂNG — TÍNH CHI PHÍ BỐC XẾP</t>
        </is>
      </c>
      <c r="C28" s="3" t="inlineStr">
        <is>
          <t>TC_05.005</t>
        </is>
      </c>
      <c r="D28" s="3" t="inlineStr">
        <is>
          <t>VAT trên chi phí bốc xếp</t>
        </is>
      </c>
      <c r="E28" s="13" t="inlineStr">
        <is>
          <t>P1</t>
        </is>
      </c>
      <c r="F28" s="3" t="inlineStr">
        <is>
          <t>total_money=500.000; VAT=8%</t>
        </is>
      </c>
      <c r="G28" s="3" t="inlineStr">
        <is>
          <t>1. Nhập VAT=8
2. Quan sát tiền VAT + sau VAT</t>
        </is>
      </c>
      <c r="H28" s="3" t="inlineStr">
        <is>
          <t>VAT=8</t>
        </is>
      </c>
      <c r="I28" s="3" t="inlineStr">
        <is>
          <t>- vat_price = 500.000 × 8/100 = 40.000
- Thành tiền sau VAT = 540.000</t>
        </is>
      </c>
      <c r="J28" s="3" t="inlineStr">
        <is>
          <t>vat_price = total × vat/100; after = total + vat</t>
        </is>
      </c>
      <c r="K28" s="3" t="inlineStr"/>
      <c r="L28" s="3" t="inlineStr">
        <is>
          <t>Not Executed</t>
        </is>
      </c>
      <c r="M28" s="3" t="inlineStr">
        <is>
          <t>Not Executed</t>
        </is>
      </c>
      <c r="N28" s="3" t="inlineStr">
        <is>
          <t>Not Executed</t>
        </is>
      </c>
      <c r="O28" s="3" t="inlineStr"/>
    </row>
    <row r="29" ht="30" customHeight="1">
      <c r="A29" s="14" t="inlineStr">
        <is>
          <t>Bốc xếp (xuất kho/xuất hàng)</t>
        </is>
      </c>
      <c r="B29" s="14" t="inlineStr">
        <is>
          <t>CHỨC NĂNG — TÍNH CHI PHÍ BỐC XẾP</t>
        </is>
      </c>
      <c r="C29" s="14" t="inlineStr">
        <is>
          <t>TC_05.006</t>
        </is>
      </c>
      <c r="D29" s="14" t="inlineStr">
        <is>
          <t>Nhiều dòng bốc xếp (trọng lượng + thời gian)</t>
        </is>
      </c>
      <c r="E29" s="15" t="inlineStr">
        <is>
          <t>P1</t>
        </is>
      </c>
      <c r="F29" s="14" t="inlineStr">
        <is>
          <t>Tab bốc xếp cho thêm nhiều dòng</t>
        </is>
      </c>
      <c r="G29" s="14" t="inlineStr">
        <is>
          <t>1. Dòng1 theo Tấn=5×100k
2. Dòng2 theo Giờ=3×80k
3. Quan sát tổng</t>
        </is>
      </c>
      <c r="H29" s="14" t="inlineStr">
        <is>
          <t>2 dòng</t>
        </is>
      </c>
      <c r="I29" s="14" t="inlineStr">
        <is>
          <t>- Mỗi dòng tính độc lập; tổng chi phí = 500.000 + 240.000 = 740.000</t>
        </is>
      </c>
      <c r="J29" s="14" t="inlineStr">
        <is>
          <t>tổng = Σ total_money</t>
        </is>
      </c>
      <c r="K29" s="14" t="inlineStr"/>
      <c r="L29" s="14" t="inlineStr">
        <is>
          <t>Not Executed</t>
        </is>
      </c>
      <c r="M29" s="14" t="inlineStr">
        <is>
          <t>Not Executed</t>
        </is>
      </c>
      <c r="N29" s="14" t="inlineStr">
        <is>
          <t>Not Executed</t>
        </is>
      </c>
      <c r="O29" s="14" t="inlineStr"/>
    </row>
    <row r="30" ht="33" customHeight="1">
      <c r="A30" s="3" t="inlineStr">
        <is>
          <t>Bốc xếp (xuất kho/xuất hàng)</t>
        </is>
      </c>
      <c r="B30" s="3" t="inlineStr">
        <is>
          <t>CHỨC NĂNG — TÍNH CHI PHÍ BỐC XẾP</t>
        </is>
      </c>
      <c r="C30" s="3" t="inlineStr">
        <is>
          <t>TC_05.007</t>
        </is>
      </c>
      <c r="D30" s="3" t="inlineStr">
        <is>
          <t>[Xuất kho] Lưu phiếu với bốc xếp theo giờ</t>
        </is>
      </c>
      <c r="E30" s="13" t="inlineStr">
        <is>
          <t>P0</t>
        </is>
      </c>
      <c r="F30" s="3" t="inlineStr">
        <is>
          <t>Phiếu xuất kho; bốc xếp theo giờ 3×80k</t>
        </is>
      </c>
      <c r="G30" s="3" t="inlineStr">
        <is>
          <t>1. Nhập bốc xếp theo giờ
2. Lưu phiếu</t>
        </is>
      </c>
      <c r="H30" s="3" t="inlineStr">
        <is>
          <t>giờ=3, price_hour=80k</t>
        </is>
      </c>
      <c r="I30" s="3" t="inlineStr">
        <is>
          <t>- Lưu thành công; arrange_deliveries lưu is_time=1, weight(số giờ)=3, price=80k, total_money=240.000</t>
        </is>
      </c>
      <c r="J30" s="3" t="inlineStr">
        <is>
          <t>submit_data is_weight/is_time</t>
        </is>
      </c>
      <c r="K30" s="3" t="inlineStr"/>
      <c r="L30" s="3" t="inlineStr">
        <is>
          <t>Not Executed</t>
        </is>
      </c>
      <c r="M30" s="3" t="inlineStr">
        <is>
          <t>Not Executed</t>
        </is>
      </c>
      <c r="N30" s="3" t="inlineStr">
        <is>
          <t>Not Executed</t>
        </is>
      </c>
      <c r="O30" s="3" t="inlineStr"/>
    </row>
    <row r="31" ht="30" customHeight="1">
      <c r="A31" s="14" t="inlineStr">
        <is>
          <t>Bốc xếp (xuất kho/xuất hàng)</t>
        </is>
      </c>
      <c r="B31" s="14" t="inlineStr">
        <is>
          <t>CHỨC NĂNG — TÍNH CHI PHÍ BỐC XẾP</t>
        </is>
      </c>
      <c r="C31" s="14" t="inlineStr">
        <is>
          <t>TC_05.008</t>
        </is>
      </c>
      <c r="D31" s="14" t="inlineStr">
        <is>
          <t>[Xuất hàng] Lưu phiếu với bốc xếp theo giờ</t>
        </is>
      </c>
      <c r="E31" s="15" t="inlineStr">
        <is>
          <t>P0</t>
        </is>
      </c>
      <c r="F31" s="14" t="inlineStr">
        <is>
          <t>Phiếu xuất hàng; bốc xếp theo giờ</t>
        </is>
      </c>
      <c r="G31" s="14" t="inlineStr">
        <is>
          <t>1. Nhập bốc xếp theo giờ
2. Lưu phiếu</t>
        </is>
      </c>
      <c r="H31" s="14" t="inlineStr">
        <is>
          <t>—</t>
        </is>
      </c>
      <c r="I31" s="14" t="inlineStr">
        <is>
          <t>- Lưu thành công; dòng bốc xếp theo thời gian được lưu đúng</t>
        </is>
      </c>
      <c r="J31" s="14" t="inlineStr">
        <is>
          <t>product_exports arrange_delivery</t>
        </is>
      </c>
      <c r="K31" s="14" t="inlineStr"/>
      <c r="L31" s="14" t="inlineStr">
        <is>
          <t>Not Executed</t>
        </is>
      </c>
      <c r="M31" s="14" t="inlineStr">
        <is>
          <t>Not Executed</t>
        </is>
      </c>
      <c r="N31" s="14" t="inlineStr">
        <is>
          <t>Not Executed</t>
        </is>
      </c>
      <c r="O31" s="14" t="inlineStr"/>
    </row>
    <row r="32" ht="30" customHeight="1">
      <c r="A32" s="3" t="inlineStr">
        <is>
          <t>Bốc xếp (xuất kho/xuất hàng)</t>
        </is>
      </c>
      <c r="B32" s="3" t="inlineStr">
        <is>
          <t>CHỨC NĂNG — TÍNH CHI PHÍ BỐC XẾP</t>
        </is>
      </c>
      <c r="C32" s="3" t="inlineStr">
        <is>
          <t>TC_05.009</t>
        </is>
      </c>
      <c r="D32" s="3" t="inlineStr">
        <is>
          <t>Mở lại phiếu giữ đúng loại tính + số liệu</t>
        </is>
      </c>
      <c r="E32" s="13" t="inlineStr">
        <is>
          <t>P1</t>
        </is>
      </c>
      <c r="F32" s="3" t="inlineStr">
        <is>
          <t>Phiếu đã lưu bốc xếp theo giờ 3×80k</t>
        </is>
      </c>
      <c r="G32" s="3" t="inlineStr">
        <is>
          <t>1. Mở lại phiếu (show/edit)</t>
        </is>
      </c>
      <c r="H32" s="3" t="inlineStr">
        <is>
          <t>—</t>
        </is>
      </c>
      <c r="I32" s="3" t="inlineStr">
        <is>
          <t>- Tab bốc xếp hiện đúng: is_time bật, Số giờ=3, đơn giá/giờ=80k, thành tiền=240.000</t>
        </is>
      </c>
      <c r="J32" s="3" t="inlineStr">
        <is>
          <t>khôi phục is_weight/is_time</t>
        </is>
      </c>
      <c r="K32" s="3" t="inlineStr"/>
      <c r="L32" s="3" t="inlineStr">
        <is>
          <t>Not Executed</t>
        </is>
      </c>
      <c r="M32" s="3" t="inlineStr">
        <is>
          <t>Not Executed</t>
        </is>
      </c>
      <c r="N32" s="3" t="inlineStr">
        <is>
          <t>Not Executed</t>
        </is>
      </c>
      <c r="O32" s="3" t="inlineStr"/>
    </row>
    <row r="33" ht="26" customHeight="1">
      <c r="A33" s="11" t="n"/>
      <c r="B33" s="11" t="n"/>
      <c r="C33" s="12" t="inlineStr">
        <is>
          <t>VI. EDGE CASES &amp; VALIDATION</t>
        </is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5" t="n"/>
    </row>
    <row r="34" ht="30" customHeight="1">
      <c r="A34" s="14" t="inlineStr">
        <is>
          <t>Bốc xếp (xuất kho/xuất hàng)</t>
        </is>
      </c>
      <c r="B34" s="14" t="inlineStr">
        <is>
          <t>EDGE CASES &amp; VALIDATION</t>
        </is>
      </c>
      <c r="C34" s="14" t="inlineStr">
        <is>
          <t>TC_06.001</t>
        </is>
      </c>
      <c r="D34" s="14" t="inlineStr">
        <is>
          <t>Không chọn loại tính nào (is_weight=0 &amp; is_time=0)</t>
        </is>
      </c>
      <c r="E34" s="15" t="inlineStr">
        <is>
          <t>P0</t>
        </is>
      </c>
      <c r="F34" s="14" t="inlineStr">
        <is>
          <t>Bỏ tích cả 2 loại (qua thao tác/payload)</t>
        </is>
      </c>
      <c r="G34" s="14" t="inlineStr">
        <is>
          <t>1. Lưu dòng bốc xếp khi cả is_weight=0 và is_time=0</t>
        </is>
      </c>
      <c r="H34" s="14" t="inlineStr">
        <is>
          <t>is_weight=0,is_time=0</t>
        </is>
      </c>
      <c r="I34" s="14" t="inlineStr">
        <is>
          <t>- Báo lỗi 'Phải chọn ít nhất 1 loại tính giá'; không lưu</t>
        </is>
      </c>
      <c r="J34" s="14" t="inlineStr">
        <is>
          <t>withValidator: !is_weight &amp;&amp; !is_time</t>
        </is>
      </c>
      <c r="K34" s="14" t="inlineStr"/>
      <c r="L34" s="14" t="inlineStr">
        <is>
          <t>Not Executed</t>
        </is>
      </c>
      <c r="M34" s="14" t="inlineStr">
        <is>
          <t>Not Executed</t>
        </is>
      </c>
      <c r="N34" s="14" t="inlineStr">
        <is>
          <t>Not Executed</t>
        </is>
      </c>
      <c r="O34" s="14" t="inlineStr"/>
    </row>
    <row r="35" ht="30" customHeight="1">
      <c r="A35" s="3" t="inlineStr">
        <is>
          <t>Bốc xếp (xuất kho/xuất hàng)</t>
        </is>
      </c>
      <c r="B35" s="3" t="inlineStr">
        <is>
          <t>EDGE CASES &amp; VALIDATION</t>
        </is>
      </c>
      <c r="C35" s="3" t="inlineStr">
        <is>
          <t>TC_06.002</t>
        </is>
      </c>
      <c r="D35" s="3" t="inlineStr">
        <is>
          <t>[Trọng lượng] Thiếu đơn giá price khi is_weight=1</t>
        </is>
      </c>
      <c r="E35" s="13" t="inlineStr">
        <is>
          <t>P0</t>
        </is>
      </c>
      <c r="F35" s="3" t="inlineStr">
        <is>
          <t>is_weight=1, price trống/0</t>
        </is>
      </c>
      <c r="G35" s="3" t="inlineStr">
        <is>
          <t>1. Lưu</t>
        </is>
      </c>
      <c r="H35" s="3" t="inlineStr">
        <is>
          <t>price rỗng/0</t>
        </is>
      </c>
      <c r="I35" s="3" t="inlineStr">
        <is>
          <t>- Lỗi: price required_if is_weight=1 + not_in:0 (đơn giá phải &gt; 0)</t>
        </is>
      </c>
      <c r="J35" s="3" t="inlineStr">
        <is>
          <t>price required_if:is_weight,1|not_in:0</t>
        </is>
      </c>
      <c r="K35" s="3" t="inlineStr"/>
      <c r="L35" s="3" t="inlineStr">
        <is>
          <t>Not Executed</t>
        </is>
      </c>
      <c r="M35" s="3" t="inlineStr">
        <is>
          <t>Not Executed</t>
        </is>
      </c>
      <c r="N35" s="3" t="inlineStr">
        <is>
          <t>Not Executed</t>
        </is>
      </c>
      <c r="O35" s="3" t="inlineStr"/>
    </row>
    <row r="36" ht="30" customHeight="1">
      <c r="A36" s="14" t="inlineStr">
        <is>
          <t>Bốc xếp (xuất kho/xuất hàng)</t>
        </is>
      </c>
      <c r="B36" s="14" t="inlineStr">
        <is>
          <t>EDGE CASES &amp; VALIDATION</t>
        </is>
      </c>
      <c r="C36" s="14" t="inlineStr">
        <is>
          <t>TC_06.003</t>
        </is>
      </c>
      <c r="D36" s="14" t="inlineStr">
        <is>
          <t>[Trọng lượng] company_price thiếu khi is_weight=1</t>
        </is>
      </c>
      <c r="E36" s="15" t="inlineStr">
        <is>
          <t>P1</t>
        </is>
      </c>
      <c r="F36" s="14" t="inlineStr">
        <is>
          <t>is_weight=1, company_price trống</t>
        </is>
      </c>
      <c r="G36" s="14" t="inlineStr">
        <is>
          <t>1. Lưu</t>
        </is>
      </c>
      <c r="H36" s="14" t="inlineStr">
        <is>
          <t>company_price rỗng</t>
        </is>
      </c>
      <c r="I36" s="14" t="inlineStr">
        <is>
          <t>- Lỗi: company_price required_if is_weight=1 + not_in:0</t>
        </is>
      </c>
      <c r="J36" s="14" t="inlineStr">
        <is>
          <t>company_price required_if:is_weight,1</t>
        </is>
      </c>
      <c r="K36" s="14" t="inlineStr"/>
      <c r="L36" s="14" t="inlineStr">
        <is>
          <t>Not Executed</t>
        </is>
      </c>
      <c r="M36" s="14" t="inlineStr">
        <is>
          <t>Not Executed</t>
        </is>
      </c>
      <c r="N36" s="14" t="inlineStr">
        <is>
          <t>Not Executed</t>
        </is>
      </c>
      <c r="O36" s="14" t="inlineStr"/>
    </row>
    <row r="37" ht="30" customHeight="1">
      <c r="A37" s="3" t="inlineStr">
        <is>
          <t>Bốc xếp (xuất kho/xuất hàng)</t>
        </is>
      </c>
      <c r="B37" s="3" t="inlineStr">
        <is>
          <t>EDGE CASES &amp; VALIDATION</t>
        </is>
      </c>
      <c r="C37" s="3" t="inlineStr">
        <is>
          <t>TC_06.004</t>
        </is>
      </c>
      <c r="D37" s="3" t="inlineStr">
        <is>
          <t>[Thời gian] Thiếu price_hour khi is_time=1</t>
        </is>
      </c>
      <c r="E37" s="13" t="inlineStr">
        <is>
          <t>P0</t>
        </is>
      </c>
      <c r="F37" s="3" t="inlineStr">
        <is>
          <t>is_time=1, price_hour trống</t>
        </is>
      </c>
      <c r="G37" s="3" t="inlineStr">
        <is>
          <t>1. Lưu</t>
        </is>
      </c>
      <c r="H37" s="3" t="inlineStr">
        <is>
          <t>price_hour rỗng</t>
        </is>
      </c>
      <c r="I37" s="3" t="inlineStr">
        <is>
          <t>- Lỗi: price_hour required_if is_time=1</t>
        </is>
      </c>
      <c r="J37" s="3" t="inlineStr">
        <is>
          <t>price_hour required_if:is_time,1|numeric|min:0</t>
        </is>
      </c>
      <c r="K37" s="3" t="inlineStr"/>
      <c r="L37" s="3" t="inlineStr">
        <is>
          <t>Not Executed</t>
        </is>
      </c>
      <c r="M37" s="3" t="inlineStr">
        <is>
          <t>Not Executed</t>
        </is>
      </c>
      <c r="N37" s="3" t="inlineStr">
        <is>
          <t>Not Executed</t>
        </is>
      </c>
      <c r="O37" s="3" t="inlineStr"/>
    </row>
    <row r="38" ht="30" customHeight="1">
      <c r="A38" s="14" t="inlineStr">
        <is>
          <t>Bốc xếp (xuất kho/xuất hàng)</t>
        </is>
      </c>
      <c r="B38" s="14" t="inlineStr">
        <is>
          <t>EDGE CASES &amp; VALIDATION</t>
        </is>
      </c>
      <c r="C38" s="14" t="inlineStr">
        <is>
          <t>TC_06.005</t>
        </is>
      </c>
      <c r="D38" s="14" t="inlineStr">
        <is>
          <t>[Thời gian] company_price_hour thiếu khi is_time=1</t>
        </is>
      </c>
      <c r="E38" s="15" t="inlineStr">
        <is>
          <t>P1</t>
        </is>
      </c>
      <c r="F38" s="14" t="inlineStr">
        <is>
          <t>is_time=1, company_price_hour trống</t>
        </is>
      </c>
      <c r="G38" s="14" t="inlineStr">
        <is>
          <t>1. Lưu</t>
        </is>
      </c>
      <c r="H38" s="14" t="inlineStr">
        <is>
          <t>company_price_hour rỗng</t>
        </is>
      </c>
      <c r="I38" s="14" t="inlineStr">
        <is>
          <t>- Lỗi: company_price_hour required_if is_time=1</t>
        </is>
      </c>
      <c r="J38" s="14" t="inlineStr">
        <is>
          <t>company_price_hour required_if:is_time,1</t>
        </is>
      </c>
      <c r="K38" s="14" t="inlineStr"/>
      <c r="L38" s="14" t="inlineStr">
        <is>
          <t>Not Executed</t>
        </is>
      </c>
      <c r="M38" s="14" t="inlineStr">
        <is>
          <t>Not Executed</t>
        </is>
      </c>
      <c r="N38" s="14" t="inlineStr">
        <is>
          <t>Not Executed</t>
        </is>
      </c>
      <c r="O38" s="14" t="inlineStr"/>
    </row>
    <row r="39" ht="30" customHeight="1">
      <c r="A39" s="3" t="inlineStr">
        <is>
          <t>Bốc xếp (xuất kho/xuất hàng)</t>
        </is>
      </c>
      <c r="B39" s="3" t="inlineStr">
        <is>
          <t>EDGE CASES &amp; VALIDATION</t>
        </is>
      </c>
      <c r="C39" s="3" t="inlineStr">
        <is>
          <t>TC_06.006</t>
        </is>
      </c>
      <c r="D39" s="3" t="inlineStr">
        <is>
          <t>Đơn giá âm / không phải số</t>
        </is>
      </c>
      <c r="E39" s="13" t="inlineStr">
        <is>
          <t>P1</t>
        </is>
      </c>
      <c r="F39" s="3" t="inlineStr">
        <is>
          <t>—</t>
        </is>
      </c>
      <c r="G39" s="3" t="inlineStr">
        <is>
          <t>1. price = -100 hoặc 'abc'
2. Lưu</t>
        </is>
      </c>
      <c r="H39" s="3" t="inlineStr">
        <is>
          <t>-100 / abc</t>
        </is>
      </c>
      <c r="I39" s="3" t="inlineStr">
        <is>
          <t>- Lỗi numeric/min:0</t>
        </is>
      </c>
      <c r="J39" s="3" t="inlineStr">
        <is>
          <t>numeric|min:0</t>
        </is>
      </c>
      <c r="K39" s="3" t="inlineStr"/>
      <c r="L39" s="3" t="inlineStr">
        <is>
          <t>Not Executed</t>
        </is>
      </c>
      <c r="M39" s="3" t="inlineStr">
        <is>
          <t>Not Executed</t>
        </is>
      </c>
      <c r="N39" s="3" t="inlineStr">
        <is>
          <t>Not Executed</t>
        </is>
      </c>
      <c r="O39" s="3" t="inlineStr"/>
    </row>
    <row r="40" ht="30" customHeight="1">
      <c r="A40" s="14" t="inlineStr">
        <is>
          <t>Bốc xếp (xuất kho/xuất hàng)</t>
        </is>
      </c>
      <c r="B40" s="14" t="inlineStr">
        <is>
          <t>EDGE CASES &amp; VALIDATION</t>
        </is>
      </c>
      <c r="C40" s="14" t="inlineStr">
        <is>
          <t>TC_06.007</t>
        </is>
      </c>
      <c r="D40" s="14" t="inlineStr">
        <is>
          <t>Số lượng (tấn/giờ) = 0 → thành tiền 0</t>
        </is>
      </c>
      <c r="E40" s="15" t="inlineStr">
        <is>
          <t>P2</t>
        </is>
      </c>
      <c r="F40" s="14" t="inlineStr">
        <is>
          <t>is_weight=1, price=100k, tấn=0</t>
        </is>
      </c>
      <c r="G40" s="14" t="inlineStr">
        <is>
          <t>1. Quan sát thành tiền</t>
        </is>
      </c>
      <c r="H40" s="14" t="inlineStr">
        <is>
          <t>tấn=0</t>
        </is>
      </c>
      <c r="I40" s="14" t="inlineStr">
        <is>
          <t>- total_money = 0 (weight=0 → 0)</t>
        </is>
      </c>
      <c r="J40" s="14" t="inlineStr">
        <is>
          <t>total_money = weight ? price×weight : 0</t>
        </is>
      </c>
      <c r="K40" s="14" t="inlineStr"/>
      <c r="L40" s="14" t="inlineStr">
        <is>
          <t>Not Executed</t>
        </is>
      </c>
      <c r="M40" s="14" t="inlineStr">
        <is>
          <t>Not Executed</t>
        </is>
      </c>
      <c r="N40" s="14" t="inlineStr">
        <is>
          <t>Not Executed</t>
        </is>
      </c>
      <c r="O40" s="14" t="inlineStr"/>
    </row>
    <row r="41" ht="26" customHeight="1">
      <c r="A41" s="11" t="n"/>
      <c r="B41" s="11" t="n"/>
      <c r="C41" s="12" t="inlineStr">
        <is>
          <t>VII. ĐỊNH MỨC BỐC XẾP (ArrangeGood config)</t>
        </is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5" t="n"/>
    </row>
    <row r="42" ht="34" customHeight="1">
      <c r="A42" s="3" t="inlineStr">
        <is>
          <t>Bốc xếp (xuất kho/xuất hàng)</t>
        </is>
      </c>
      <c r="B42" s="3" t="inlineStr">
        <is>
          <t>ĐỊNH MỨC BỐC XẾP (ArrangeGood config)</t>
        </is>
      </c>
      <c r="C42" s="3" t="inlineStr">
        <is>
          <t>TC_07.001</t>
        </is>
      </c>
      <c r="D42" s="3" t="inlineStr">
        <is>
          <t>Cấu hình định mức tính theo cả Tấn và Giờ</t>
        </is>
      </c>
      <c r="E42" s="13" t="inlineStr">
        <is>
          <t>P0</t>
        </is>
      </c>
      <c r="F42" s="3" t="inlineStr">
        <is>
          <t>Tạo/sửa định mức bốc xếp</t>
        </is>
      </c>
      <c r="G42" s="3" t="inlineStr">
        <is>
          <t>1. Bật is_weight + nhập price/company_price
2. Bật is_time + nhập price_hour/company_price_hour
3. Lưu</t>
        </is>
      </c>
      <c r="H42" s="3" t="inlineStr">
        <is>
          <t>price=100k, price_hour=80k</t>
        </is>
      </c>
      <c r="I42" s="3" t="inlineStr">
        <is>
          <t>- Lưu định mức với đủ 4 đơn giá; cột giá hiển thị dạng 'tấn/giờ' (price/price_hour)</t>
        </is>
      </c>
      <c r="J42" s="3" t="inlineStr">
        <is>
          <t>arrange_goods is_weight/is_time + price/price_hour</t>
        </is>
      </c>
      <c r="K42" s="3" t="inlineStr"/>
      <c r="L42" s="3" t="inlineStr">
        <is>
          <t>Not Executed</t>
        </is>
      </c>
      <c r="M42" s="3" t="inlineStr">
        <is>
          <t>Not Executed</t>
        </is>
      </c>
      <c r="N42" s="3" t="inlineStr">
        <is>
          <t>Not Executed</t>
        </is>
      </c>
      <c r="O42" s="3" t="inlineStr"/>
    </row>
    <row r="43" ht="30" customHeight="1">
      <c r="A43" s="14" t="inlineStr">
        <is>
          <t>Bốc xếp (xuất kho/xuất hàng)</t>
        </is>
      </c>
      <c r="B43" s="14" t="inlineStr">
        <is>
          <t>ĐỊNH MỨC BỐC XẾP (ArrangeGood config)</t>
        </is>
      </c>
      <c r="C43" s="14" t="inlineStr">
        <is>
          <t>TC_07.002</t>
        </is>
      </c>
      <c r="D43" s="14" t="inlineStr">
        <is>
          <t>Định mức chỉ theo Tấn (is_weight=1, is_time=0)</t>
        </is>
      </c>
      <c r="E43" s="15" t="inlineStr">
        <is>
          <t>P1</t>
        </is>
      </c>
      <c r="F43" s="14" t="inlineStr">
        <is>
          <t>Định mức bật is_weight, tắt is_time</t>
        </is>
      </c>
      <c r="G43" s="14" t="inlineStr">
        <is>
          <t>1. Lưu</t>
        </is>
      </c>
      <c r="H43" s="14" t="inlineStr">
        <is>
          <t>is_time=0</t>
        </is>
      </c>
      <c r="I43" s="14" t="inlineStr">
        <is>
          <t>- price_hour, company_price_hour = 0 (controller set 0 khi !is_time)</t>
        </is>
      </c>
      <c r="J43" s="14" t="inlineStr">
        <is>
          <t>if(!is_time) price_hour=0</t>
        </is>
      </c>
      <c r="K43" s="14" t="inlineStr"/>
      <c r="L43" s="14" t="inlineStr">
        <is>
          <t>Not Executed</t>
        </is>
      </c>
      <c r="M43" s="14" t="inlineStr">
        <is>
          <t>Not Executed</t>
        </is>
      </c>
      <c r="N43" s="14" t="inlineStr">
        <is>
          <t>Not Executed</t>
        </is>
      </c>
      <c r="O43" s="14" t="inlineStr"/>
    </row>
    <row r="44" ht="30" customHeight="1">
      <c r="A44" s="3" t="inlineStr">
        <is>
          <t>Bốc xếp (xuất kho/xuất hàng)</t>
        </is>
      </c>
      <c r="B44" s="3" t="inlineStr">
        <is>
          <t>ĐỊNH MỨC BỐC XẾP (ArrangeGood config)</t>
        </is>
      </c>
      <c r="C44" s="3" t="inlineStr">
        <is>
          <t>TC_07.003</t>
        </is>
      </c>
      <c r="D44" s="3" t="inlineStr">
        <is>
          <t>Định mức chỉ theo Giờ (is_time=1, is_weight=0)</t>
        </is>
      </c>
      <c r="E44" s="13" t="inlineStr">
        <is>
          <t>P1</t>
        </is>
      </c>
      <c r="F44" s="3" t="inlineStr">
        <is>
          <t>Định mức bật is_time, tắt is_weight</t>
        </is>
      </c>
      <c r="G44" s="3" t="inlineStr">
        <is>
          <t>1. Lưu</t>
        </is>
      </c>
      <c r="H44" s="3" t="inlineStr">
        <is>
          <t>is_weight=0</t>
        </is>
      </c>
      <c r="I44" s="3" t="inlineStr">
        <is>
          <t>- price, company_price = 0 (controller set 0 khi !is_weight)</t>
        </is>
      </c>
      <c r="J44" s="3" t="inlineStr">
        <is>
          <t>if(!is_weight) price=0</t>
        </is>
      </c>
      <c r="K44" s="3" t="inlineStr"/>
      <c r="L44" s="3" t="inlineStr">
        <is>
          <t>Not Executed</t>
        </is>
      </c>
      <c r="M44" s="3" t="inlineStr">
        <is>
          <t>Not Executed</t>
        </is>
      </c>
      <c r="N44" s="3" t="inlineStr">
        <is>
          <t>Not Executed</t>
        </is>
      </c>
      <c r="O44" s="3" t="inlineStr"/>
    </row>
    <row r="45" ht="30" customHeight="1">
      <c r="A45" s="14" t="inlineStr">
        <is>
          <t>Bốc xếp (xuất kho/xuất hàng)</t>
        </is>
      </c>
      <c r="B45" s="14" t="inlineStr">
        <is>
          <t>ĐỊNH MỨC BỐC XẾP (ArrangeGood config)</t>
        </is>
      </c>
      <c r="C45" s="14" t="inlineStr">
        <is>
          <t>TC_07.004</t>
        </is>
      </c>
      <c r="D45" s="14" t="inlineStr">
        <is>
          <t>Định mức không chọn loại nào → chặn</t>
        </is>
      </c>
      <c r="E45" s="15" t="inlineStr">
        <is>
          <t>P0</t>
        </is>
      </c>
      <c r="F45" s="14" t="inlineStr">
        <is>
          <t>is_weight=0 &amp; is_time=0</t>
        </is>
      </c>
      <c r="G45" s="14" t="inlineStr">
        <is>
          <t>1. Lưu định mức</t>
        </is>
      </c>
      <c r="H45" s="14" t="inlineStr">
        <is>
          <t>—</t>
        </is>
      </c>
      <c r="I45" s="14" t="inlineStr">
        <is>
          <t>- Báo lỗi 'Phải chọn ít nhất 1 loại tính giá'</t>
        </is>
      </c>
      <c r="J45" s="14" t="inlineStr">
        <is>
          <t>withValidator ArrangeDeliveryRequest</t>
        </is>
      </c>
      <c r="K45" s="14" t="inlineStr"/>
      <c r="L45" s="14" t="inlineStr">
        <is>
          <t>Not Executed</t>
        </is>
      </c>
      <c r="M45" s="14" t="inlineStr">
        <is>
          <t>Not Executed</t>
        </is>
      </c>
      <c r="N45" s="14" t="inlineStr">
        <is>
          <t>Not Executed</t>
        </is>
      </c>
      <c r="O45" s="14" t="inlineStr"/>
    </row>
    <row r="46" ht="30" customHeight="1">
      <c r="A46" s="3" t="inlineStr">
        <is>
          <t>Bốc xếp (xuất kho/xuất hàng)</t>
        </is>
      </c>
      <c r="B46" s="3" t="inlineStr">
        <is>
          <t>ĐỊNH MỨC BỐC XẾP (ArrangeGood config)</t>
        </is>
      </c>
      <c r="C46" s="3" t="inlineStr">
        <is>
          <t>TC_07.005</t>
        </is>
      </c>
      <c r="D46" s="3" t="inlineStr">
        <is>
          <t>Hiển thị cột giá định mức 'tấn/giờ'</t>
        </is>
      </c>
      <c r="E46" s="13" t="inlineStr">
        <is>
          <t>P2</t>
        </is>
      </c>
      <c r="F46" s="3" t="inlineStr">
        <is>
          <t>Định mức price=100k, price_hour=80k</t>
        </is>
      </c>
      <c r="G46" s="3" t="inlineStr">
        <is>
          <t>1. Xem danh sách định mức</t>
        </is>
      </c>
      <c r="H46" s="3" t="inlineStr">
        <is>
          <t>—</t>
        </is>
      </c>
      <c r="I46" s="3" t="inlineStr">
        <is>
          <t>- Cột đơn giá = '100.000/80.000' (price/price_hour); company tương tự</t>
        </is>
      </c>
      <c r="J46" s="3" t="inlineStr">
        <is>
          <t>editColumn price: tan.'/'.gio</t>
        </is>
      </c>
      <c r="K46" s="3" t="inlineStr"/>
      <c r="L46" s="3" t="inlineStr">
        <is>
          <t>Not Executed</t>
        </is>
      </c>
      <c r="M46" s="3" t="inlineStr">
        <is>
          <t>Not Executed</t>
        </is>
      </c>
      <c r="N46" s="3" t="inlineStr">
        <is>
          <t>Not Executed</t>
        </is>
      </c>
      <c r="O46" s="3" t="inlineStr"/>
    </row>
    <row r="47" ht="26" customHeight="1">
      <c r="A47" s="11" t="n"/>
      <c r="B47" s="11" t="n"/>
      <c r="C47" s="12" t="inlineStr">
        <is>
          <t>VIII. E2E &amp; CÔ LẬP</t>
        </is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5" t="n"/>
    </row>
    <row r="48" ht="30" customHeight="1">
      <c r="A48" s="14" t="inlineStr">
        <is>
          <t>Bốc xếp (xuất kho/xuất hàng)</t>
        </is>
      </c>
      <c r="B48" s="14" t="inlineStr">
        <is>
          <t>E2E &amp; CÔ LẬP</t>
        </is>
      </c>
      <c r="C48" s="14" t="inlineStr">
        <is>
          <t>TC_08.001</t>
        </is>
      </c>
      <c r="D48" s="14" t="inlineStr">
        <is>
          <t>[Xuất kho] Tổng chi phí bốc xếp theo giờ vào tổng phiếu</t>
        </is>
      </c>
      <c r="E48" s="15" t="inlineStr">
        <is>
          <t>P0</t>
        </is>
      </c>
      <c r="F48" s="14" t="inlineStr">
        <is>
          <t>Phiếu xuất kho có bốc xếp theo giờ 3×80k + VAT 8%</t>
        </is>
      </c>
      <c r="G48" s="14" t="inlineStr">
        <is>
          <t>1. Lưu phiếu
2. Xem tổng chi phí vận chuyển/bốc xếp + công nợ</t>
        </is>
      </c>
      <c r="H48" s="14" t="inlineStr">
        <is>
          <t>—</t>
        </is>
      </c>
      <c r="I48" s="14" t="inlineStr">
        <is>
          <t>- Chi phí bốc xếp = 240.000, sau VAT = 259.200 vào tổng phiếu/công nợ đúng</t>
        </is>
      </c>
      <c r="J48" s="14" t="inlineStr">
        <is>
          <t>total_money + vat cộng vào phiếu</t>
        </is>
      </c>
      <c r="K48" s="14" t="inlineStr"/>
      <c r="L48" s="14" t="inlineStr">
        <is>
          <t>Not Executed</t>
        </is>
      </c>
      <c r="M48" s="14" t="inlineStr">
        <is>
          <t>Not Executed</t>
        </is>
      </c>
      <c r="N48" s="14" t="inlineStr">
        <is>
          <t>Not Executed</t>
        </is>
      </c>
      <c r="O48" s="14" t="inlineStr"/>
    </row>
    <row r="49" ht="30" customHeight="1">
      <c r="A49" s="3" t="inlineStr">
        <is>
          <t>Bốc xếp (xuất kho/xuất hàng)</t>
        </is>
      </c>
      <c r="B49" s="3" t="inlineStr">
        <is>
          <t>E2E &amp; CÔ LẬP</t>
        </is>
      </c>
      <c r="C49" s="3" t="inlineStr">
        <is>
          <t>TC_08.002</t>
        </is>
      </c>
      <c r="D49" s="3" t="inlineStr">
        <is>
          <t>Đổi số giờ → thành tiền cập nhật realtime</t>
        </is>
      </c>
      <c r="E49" s="13" t="inlineStr">
        <is>
          <t>P1</t>
        </is>
      </c>
      <c r="F49" s="3" t="inlineStr">
        <is>
          <t>is_time, price_hour=80k, giờ=3</t>
        </is>
      </c>
      <c r="G49" s="3" t="inlineStr">
        <is>
          <t>1. Đổi giờ = 5</t>
        </is>
      </c>
      <c r="H49" s="3" t="inlineStr">
        <is>
          <t>giờ 3→5</t>
        </is>
      </c>
      <c r="I49" s="3" t="inlineStr">
        <is>
          <t>- total_money cập nhật = 80k × 5 = 400.000</t>
        </is>
      </c>
      <c r="J49" s="3" t="inlineStr">
        <is>
          <t>binding tự tính</t>
        </is>
      </c>
      <c r="K49" s="3" t="inlineStr"/>
      <c r="L49" s="3" t="inlineStr">
        <is>
          <t>Not Executed</t>
        </is>
      </c>
      <c r="M49" s="3" t="inlineStr">
        <is>
          <t>Not Executed</t>
        </is>
      </c>
      <c r="N49" s="3" t="inlineStr">
        <is>
          <t>Not Executed</t>
        </is>
      </c>
      <c r="O49" s="3" t="inlineStr"/>
    </row>
    <row r="50" ht="30" customHeight="1">
      <c r="A50" s="14" t="inlineStr">
        <is>
          <t>Bốc xếp (xuất kho/xuất hàng)</t>
        </is>
      </c>
      <c r="B50" s="14" t="inlineStr">
        <is>
          <t>E2E &amp; CÔ LẬP</t>
        </is>
      </c>
      <c r="C50" s="14" t="inlineStr">
        <is>
          <t>TC_08.003</t>
        </is>
      </c>
      <c r="D50" s="14" t="inlineStr">
        <is>
          <t>Đổi từ Giờ sang Tấn cập nhật đơn giá + thành tiền</t>
        </is>
      </c>
      <c r="E50" s="15" t="inlineStr">
        <is>
          <t>P1</t>
        </is>
      </c>
      <c r="F50" s="14" t="inlineStr">
        <is>
          <t>Đang theo giờ (price_hour=80k); định mức có price=100k</t>
        </is>
      </c>
      <c r="G50" s="14" t="inlineStr">
        <is>
          <t>1. Bật 'Theo trọng lượng'
2. Nhập tấn=5</t>
        </is>
      </c>
      <c r="H50" s="14" t="inlineStr">
        <is>
          <t>—</t>
        </is>
      </c>
      <c r="I50" s="14" t="inlineStr">
        <is>
          <t>- Đơn giá đổi sang price=100k, thành tiền = 100k×5=500.000</t>
        </is>
      </c>
      <c r="J50" s="14" t="inlineStr">
        <is>
          <t>change() set lại price</t>
        </is>
      </c>
      <c r="K50" s="14" t="inlineStr"/>
      <c r="L50" s="14" t="inlineStr">
        <is>
          <t>Not Executed</t>
        </is>
      </c>
      <c r="M50" s="14" t="inlineStr">
        <is>
          <t>Not Executed</t>
        </is>
      </c>
      <c r="N50" s="14" t="inlineStr">
        <is>
          <t>Not Executed</t>
        </is>
      </c>
      <c r="O50" s="14" t="inlineStr"/>
    </row>
    <row r="51" ht="30" customHeight="1">
      <c r="A51" s="3" t="inlineStr">
        <is>
          <t>Bốc xếp (xuất kho/xuất hàng)</t>
        </is>
      </c>
      <c r="B51" s="3" t="inlineStr">
        <is>
          <t>E2E &amp; CÔ LẬP</t>
        </is>
      </c>
      <c r="C51" s="3" t="inlineStr">
        <is>
          <t>TC_08.004</t>
        </is>
      </c>
      <c r="D51" s="3" t="inlineStr">
        <is>
          <t>Phiếu xuất hàng &amp; xuất kho dùng chung logic</t>
        </is>
      </c>
      <c r="E51" s="13" t="inlineStr">
        <is>
          <t>P1</t>
        </is>
      </c>
      <c r="F51" s="3" t="inlineStr">
        <is>
          <t>Cùng định mức</t>
        </is>
      </c>
      <c r="G51" s="3" t="inlineStr">
        <is>
          <t>1. Tạo bốc xếp theo giờ trên cả 2 loại phiếu</t>
        </is>
      </c>
      <c r="H51" s="3" t="inlineStr">
        <is>
          <t>—</t>
        </is>
      </c>
      <c r="I51" s="3" t="inlineStr">
        <is>
          <t>- Cùng công thức + validation; kết quả nhất quán</t>
        </is>
      </c>
      <c r="J51" s="3" t="inlineStr">
        <is>
          <t>cùng component</t>
        </is>
      </c>
      <c r="K51" s="3" t="inlineStr"/>
      <c r="L51" s="3" t="inlineStr">
        <is>
          <t>Not Executed</t>
        </is>
      </c>
      <c r="M51" s="3" t="inlineStr">
        <is>
          <t>Not Executed</t>
        </is>
      </c>
      <c r="N51" s="3" t="inlineStr">
        <is>
          <t>Not Executed</t>
        </is>
      </c>
      <c r="O51" s="3" t="inlineStr"/>
    </row>
    <row r="52" ht="30" customHeight="1">
      <c r="A52" s="14" t="inlineStr">
        <is>
          <t>Bốc xếp (xuất kho/xuất hàng)</t>
        </is>
      </c>
      <c r="B52" s="14" t="inlineStr">
        <is>
          <t>E2E &amp; CÔ LẬP</t>
        </is>
      </c>
      <c r="C52" s="14" t="inlineStr">
        <is>
          <t>TC_08.005</t>
        </is>
      </c>
      <c r="D52" s="14" t="inlineStr">
        <is>
          <t>Bốc xếp theo giờ không ảnh hưởng giá hàng hóa của phiếu</t>
        </is>
      </c>
      <c r="E52" s="15" t="inlineStr">
        <is>
          <t>P2</t>
        </is>
      </c>
      <c r="F52" s="14" t="inlineStr">
        <is>
          <t>Phiếu có hàng hóa + bốc xếp theo giờ</t>
        </is>
      </c>
      <c r="G52" s="14" t="inlineStr">
        <is>
          <t>1. Lưu phiếu</t>
        </is>
      </c>
      <c r="H52" s="14" t="inlineStr">
        <is>
          <t>—</t>
        </is>
      </c>
      <c r="I52" s="14" t="inlineStr">
        <is>
          <t>- Chi phí bốc xếp tách riêng, không cộng vào giá bán hàng hóa</t>
        </is>
      </c>
      <c r="J52" s="14" t="inlineStr">
        <is>
          <t>arrange_delivery độc lập tab hàng</t>
        </is>
      </c>
      <c r="K52" s="14" t="inlineStr"/>
      <c r="L52" s="14" t="inlineStr">
        <is>
          <t>Not Executed</t>
        </is>
      </c>
      <c r="M52" s="14" t="inlineStr">
        <is>
          <t>Not Executed</t>
        </is>
      </c>
      <c r="N52" s="14" t="inlineStr">
        <is>
          <t>Not Executed</t>
        </is>
      </c>
      <c r="O52" s="14" t="inlineStr"/>
    </row>
  </sheetData>
  <mergeCells count="27">
    <mergeCell ref="B4:O4"/>
    <mergeCell ref="C23:O23"/>
    <mergeCell ref="B7:O7"/>
    <mergeCell ref="B3:O3"/>
    <mergeCell ref="I12:K12"/>
    <mergeCell ref="L11:O11"/>
    <mergeCell ref="I14:K14"/>
    <mergeCell ref="B2:O2"/>
    <mergeCell ref="C18:O18"/>
    <mergeCell ref="C33:O33"/>
    <mergeCell ref="B1:O1"/>
    <mergeCell ref="B8:O8"/>
    <mergeCell ref="L13:O13"/>
    <mergeCell ref="I13:K13"/>
    <mergeCell ref="B10:O10"/>
    <mergeCell ref="L12:O12"/>
    <mergeCell ref="B11:E11"/>
    <mergeCell ref="L15:O15"/>
    <mergeCell ref="F11:H11"/>
    <mergeCell ref="I15:K15"/>
    <mergeCell ref="C41:O41"/>
    <mergeCell ref="C47:O47"/>
    <mergeCell ref="B9:O9"/>
    <mergeCell ref="I11:K11"/>
    <mergeCell ref="L14:O14"/>
    <mergeCell ref="B6:O6"/>
    <mergeCell ref="B5:O5"/>
  </mergeCells>
  <dataValidations count="1">
    <dataValidation sqref="L18:N153" showDropDown="0" showInputMessage="0" showErrorMessage="0" allowBlank="1" type="list">
      <formula1>"Passed,Failed,Pending,Not Executed"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2026-06-29T10:29:29Z</dcterms:created>
  <dcterms:modified xmlns:dcterms="http://purl.org/dc/terms/" xmlns:xsi="http://www.w3.org/2001/XMLSchema-instance" xsi:type="dcterms:W3CDTF">2026-06-29T10:29:29Z</dcterms:modified>
</cp:coreProperties>
</file>