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dnsnamdang/Documents/DNSMEDIA/websites/hrm-claude-config/erp/.plans/phieu-cho-duyet-tap-trung/"/>
    </mc:Choice>
  </mc:AlternateContent>
  <xr:revisionPtr revIDLastSave="0" documentId="13_ncr:1_{03D9CDEA-7250-3F46-AE86-39237478EAFD}" xr6:coauthVersionLast="47" xr6:coauthVersionMax="47" xr10:uidLastSave="{00000000-0000-0000-0000-000000000000}"/>
  <bookViews>
    <workbookView xWindow="0" yWindow="660" windowWidth="30240" windowHeight="17320" xr2:uid="{00000000-000D-0000-FFFF-FFFF00000000}"/>
  </bookViews>
  <sheets>
    <sheet name="PhieuChoDuyetTapTru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5" i="1" l="1"/>
  <c r="L14" i="1"/>
  <c r="L13" i="1"/>
  <c r="L12" i="1"/>
  <c r="L11" i="1"/>
</calcChain>
</file>

<file path=xl/sharedStrings.xml><?xml version="1.0" encoding="utf-8"?>
<sst xmlns="http://schemas.openxmlformats.org/spreadsheetml/2006/main" count="739" uniqueCount="406">
  <si>
    <t>MÔ TẢ TÍNH NĂNG (đọc trước khi xem testcase)</t>
  </si>
  <si>
    <t>1. Mục đích tính năng</t>
  </si>
  <si>
    <t>Gom toàn bộ phiếu đang CHỜ DUYỆT của mọi luồng nghiệp vụ (49 loại) về 1 màn hình tập trung dạng "hộp duyệt cá nhân": mỗi user chỉ thấy phiếu MÀ MÌNH CÓ QUYỀN DUYỆT ở cấp hiện tại. Hỗ trợ lọc, tìm kiếm, phân trang, deep-link mở thẳng phiếu để duyệt, và xuất Excel theo bộ lọc.</t>
  </si>
  <si>
    <t>2. Đối tượng được tính / hiển thị</t>
  </si>
  <si>
    <t>► Chỉ phiếu status = CHỜ DUYỆT (approval_inbox.status = 1 = PENDING).
► Chỉ phiếu user hiện tại được duyệt, xác định bởi ApprovalInbox::pendingBuilderForUser:
   - (a) Phiếu chỉ định người duyệt đích danh (approver_id NOT NULL) → CHỈ đúng người đó (approver_id = user.id). Ví dụ: BGĐ duyệt hợp đồng/quyết toán (chuyển duyệt gán valid_approver_id).
   - (b) Phiếu CHƯA chỉ định (approver_id NULL) + user CÓ quyền = required_permission + khớp PHẠM VI của quyền đó:
        · Quyền scope 'company' (mặc định — Ban kiểm soát, Kế toán, Kế toán trưởng, Thủ quỹ, BGĐ…): company_id NULL HOẶC = công ty user (KHÔNG check phòng ban).
        · Quyền scope 'department' (16 quyền 'Trưởng phòng…' + 'Duyệt hợp đồng' + 3 quyền duyệt KH/chỉ tiêu phòng): department_id ∈ phòng user QUẢN LÝ (bảng employee_manage_departments).
        · Quyền scope 'part': part_id ∈ bộ phận user quản lý (employee_manage_parts) — hiện chưa quyền nào dùng.</t>
  </si>
  <si>
    <t>3. Đối tượng bị ẩn / không tính</t>
  </si>
  <si>
    <t>► Phiếu đã duyệt/từ chối/huỷ (status 2=APPROVED, 3=REJECTED, 4=CANCELED) — không hiện (giữ trong DB cho lịch sử/KPI).
► Phiếu thuộc phòng ban user KHÔNG quản lý (với quyền scope department).
► Phiếu chỉ định đích danh cho người khác (approver_id = người khác).
► Phiếu công ty khác (với quyền scope company, company_id ≠ công ty user và ≠ NULL).
► Các luồng KHÔNG phải ký duyệt (đã loại khỏi registry): chuyến xe chờ hạch toán, YC sửa chữa chờ xử lý, cảnh báo/nhắc/hàng đợi (tài khoản chưa phân quyền, hàng mượn/giữ hết hạn…).</t>
  </si>
  <si>
    <t>4. Bộ lọc thời gian áp dụng cho</t>
  </si>
  <si>
    <t>Bộ lọc 'Từ ngày' / 'Đến ngày' áp trên cột submitted_at (Thời gian gửi duyệt), so theo NGÀY (whereDate &gt;= from, &lt;= to). submitted_at = thời điểm phiếu gửi duyệt lần đầu (cố định, không đổi khi chuyển cấp) — live hook = thời điểm bấm gửi thật; phiếu backfill = created_at của phiếu nguồn.</t>
  </si>
  <si>
    <t>5. Cấu trúc dữ liệu / cây phân cấp</t>
  </si>
  <si>
    <t>Registry: bảng approval_inbox (1 dòng = 1 phiếu đang ở 1 cấp duyệt) + approval_inbox_logs (log từng lượt duyệt/chuyển cấp cho KPI). Mỗi dòng lưu: doc_type, group_code, source_table/source_id (trỏ phiếu gốc), code, partner, requester, submitted_at, required_permission (quyền cấp hiện tại), company_id/department_id/part_id, approver_id, current_level, approve_route + approve_params (deep-link). Config single-source: config/approval_inbox.php (types: label/group/route/permissions; permission_scopes: quyền→scope).</t>
  </si>
  <si>
    <t>6. Quy tắc cộng dồn / deduplicate</t>
  </si>
  <si>
    <t>Mỗi phiếu nguồn = đúng 1 dòng registry (unique source_system+source_table+source_id). Luồng nhiều cấp: KHÔNG tạo dòng mới mỗi cấp — dòng cũ được advance() đổi required_permission+level (giữ nguyên submitted_at). Phiếu tái mở chu kỳ mới (reactivate) → round++. Đếm badge/‘Tất cả loại (N)’ = số dòng PENDING trong hộp duyệt user.</t>
  </si>
  <si>
    <t>7. Phân quyền cấp</t>
  </si>
  <si>
    <t>• 'Xem phiếu chờ duyệt tập trung' — quyền TRUY CẬP màn danh sách + endpoint search-data/employees/export (gắn middleware checkPermission).
• 'Xem báo cáo phê duyệt' — quyền vào màn Báo cáo phê duyệt (màn RIÊNG, sẽ test sau).
• Phạm vi phiếu hiển thị KHÔNG do 1 quyền tổng — mà theo TỪNG required_permission của phiếu + scope trong permission_scopes (company/department/part) — xem mục 2. Quyền 'department' verify theo bảng employee_manage_departments; 'part' theo employee_manage_parts.
• KHÔNG special-case Super Admin ở tầng màn (Super Admin đi qua Gate::before ở AuthServiceProvider → user()-&gt;can() trả true cho mọi quyền → thấy phiếu toàn công ty).</t>
  </si>
  <si>
    <t>8. Cách tính các ô thống kê</t>
  </si>
  <si>
    <t>► Badge menu 'Phiếu chờ duyệt (N)' = ApprovalInbox::pendingCountForUser(user) = tổng dòng PENDING trong hộp duyệt user.
► Option 'Loại phiếu' → '— Tất cả loại (N) —' với N = total; mỗi loại 'Nhãn (n)' với n = số phiếu loại đó trong hộp duyệt user (typeCounts group by doc_type).
► footInfo phân trang = 'Hiển thị {from}–{to} / {N} phiếu' (N = recordsFiltered theo bộ lọc).</t>
  </si>
  <si>
    <t>9. Ghi chú đọc bảng</t>
  </si>
  <si>
    <t>► 8 cột: STT | Loại phiếu (badge màu theo nhóm) | Mã phiếu (link ↗ mở TAB MỚI tới phiếu gốc) | Đối tác (tag KH/NCC + tên, dài quá cắt '…', hover title xem full) | Người yêu cầu (avatar + tên + PHÒNG BAN subtext) | Thời gian gửi (dd/mm/yyyy HH:mm) | Quyền áp dụng (tên quyền cấp hiện tại) | Hành động (nút Duyệt = deep-link mở phiếu).
► Phân trang server-side: 20/50/100/200 (mặc định 50), STT liên tục giữa các trang, đổi bộ lọc → về trang 1.
► Bộ lọc: Phòng ban → Bộ phận (cascade) → Người yêu cầu (select search, data theo phòng/bộ phận) → Loại phiếu → Từ/Đến ngày → Tìm kiếm (mã phiếu). ĐÃ BỎ: lọc Công ty (chỉ 1 cty user), lọc Quyền áp dụng. Danh mục Phòng/Bộ phận/Người yêu cầu GIỚI HẠN theo hộp duyệt user.
► Màn full-width (không còn sidebar 'Lọc theo nhóm'). Menu cũ 'Chờ duyệt' đã comment lại, thay bằng menu 'Phiếu chờ duyệt'.</t>
  </si>
  <si>
    <t>Testcase _ Phiếu chờ duyệt tập trung (màn danh sách)</t>
  </si>
  <si>
    <t>TEST SUMMARY</t>
  </si>
  <si>
    <t>Số trường hợp kiểm thử đạt (P):</t>
  </si>
  <si>
    <t>Số trường hợp kiểm thử không đạt (F):</t>
  </si>
  <si>
    <t>Số trường hợp kiểm thử đang xem xét (PE):</t>
  </si>
  <si>
    <t>Số trường hợp kiểm thử chưa thực hiện:</t>
  </si>
  <si>
    <t>Tổng số trường hợp kiểm thử:</t>
  </si>
  <si>
    <t>Module</t>
  </si>
  <si>
    <t>Nhóm chức năng</t>
  </si>
  <si>
    <t>TC ID</t>
  </si>
  <si>
    <t>Chức năng</t>
  </si>
  <si>
    <t>Priority</t>
  </si>
  <si>
    <t>Tiền điều kiện</t>
  </si>
  <si>
    <t>Bước thực hiện</t>
  </si>
  <si>
    <t>Test Data</t>
  </si>
  <si>
    <t>Expected Result (chi tiết)</t>
  </si>
  <si>
    <t>Giải thích nghiệp vụ</t>
  </si>
  <si>
    <t>KQ thực tế</t>
  </si>
  <si>
    <t>trạng thái check lần 1</t>
  </si>
  <si>
    <t>trạng thái check lần 2</t>
  </si>
  <si>
    <t>trạng thái check lần 3</t>
  </si>
  <si>
    <t>Ghi chú</t>
  </si>
  <si>
    <t>Phân quyền &amp; truy cập</t>
  </si>
  <si>
    <t>Phiếu chờ duyệt</t>
  </si>
  <si>
    <t>TC-ROLE-00</t>
  </si>
  <si>
    <t>Truy cập màn khi CÓ quyền xem</t>
  </si>
  <si>
    <t>P0</t>
  </si>
  <si>
    <t>User đã đăng nhập; user CÓ quyền 'Xem phiếu chờ duyệt tập trung'</t>
  </si>
  <si>
    <t>1. Vào menu 'Phiếu chờ duyệt' &gt; 'Danh sách phiếu chờ duyệt'
2. Quan sát</t>
  </si>
  <si>
    <t>User: có quyền xem</t>
  </si>
  <si>
    <t>- Màn /admin/approval-inbox load thành công (HTTP 200)
- Hiển thị bộ lọc + bảng danh sách + phân trang</t>
  </si>
  <si>
    <t>Permission: 'Xem phiếu chờ duyệt tập trung' (middleware checkPermission trên route index)</t>
  </si>
  <si>
    <t>Not Executed</t>
  </si>
  <si>
    <t>TC-ROLE-01</t>
  </si>
  <si>
    <t>Chặn truy cập khi KHÔNG có quyền xem</t>
  </si>
  <si>
    <t>User đã đăng nhập; user KHÔNG có quyền 'Xem phiếu chờ duyệt tập trung'</t>
  </si>
  <si>
    <t>1. Gõ thẳng URL /admin/approval-inbox
2. Quan sát</t>
  </si>
  <si>
    <t>User: không có quyền xem</t>
  </si>
  <si>
    <t>- Bị chặn bởi middleware checkPermission (403/redirect)
- Menu 'Phiếu chờ duyệt' KHÔNG hiển thị (@can bọc menu)</t>
  </si>
  <si>
    <t>BR — Route index/search-data/employees/export đều gắn checkPermission:Xem phiếu chờ duyệt tập trung</t>
  </si>
  <si>
    <t>TC-ROLE-02</t>
  </si>
  <si>
    <t>Quyền scope COMPANY thấy phiếu toàn công ty</t>
  </si>
  <si>
    <t>User có quyền company-scope (vd 'Kế toán duyệt quyết toán hợp đồng'); công ty user có phiếu quyết toán ở nhiều phòng</t>
  </si>
  <si>
    <t>1. Vào màn
2. Lọc loại 'Quyết toán HĐ' (hoặc để tất cả)
3. Quan sát phòng ban của các phiếu</t>
  </si>
  <si>
    <t>User: KT trưởng công ty 1</t>
  </si>
  <si>
    <t>- Thấy MỌI phiếu required_permission='Kế toán duyệt quyết toán hợp đồng' của công ty (company_id = cty user hoặc NULL)
- KHÔNG bị giới hạn theo phòng ban user quản lý</t>
  </si>
  <si>
    <t>BR — scope 'company' (mặc định trong permission_scopes): company_id NULL OR = công ty user, không check department</t>
  </si>
  <si>
    <t>TC-ROLE-03</t>
  </si>
  <si>
    <t>Quyền scope DEPARTMENT chỉ thấy phiếu phòng mình QUẢN LÝ</t>
  </si>
  <si>
    <t>User là Trưởng phòng quản lý phòng X (có bản ghi employee_manage_departments); có phiếu required_permission='Trưởng phòng duyệt quyết toán hợp đồng' ở phòng X (2 phiếu) và phòng Y không quản lý (3 phiếu)</t>
  </si>
  <si>
    <t>1. Vào màn
2. Quan sát danh sách</t>
  </si>
  <si>
    <t>User: TP quản lý phòng X</t>
  </si>
  <si>
    <t>- CHỈ thấy 2 phiếu phòng X
- KHÔNG thấy 3 phiếu phòng Y</t>
  </si>
  <si>
    <t>BR — scope 'department': department_id ∈ employee_manage_departments của user</t>
  </si>
  <si>
    <t>TC-ROLE-04</t>
  </si>
  <si>
    <t>Quyền department nhưng KHÔNG quản lý phòng nào → không thấy phiếu department</t>
  </si>
  <si>
    <t>P1</t>
  </si>
  <si>
    <t>User có quyền 'Trưởng phòng duyệt quyết toán hợp đồng' nhưng KHÔNG có bản ghi employee_manage_departments nào</t>
  </si>
  <si>
    <t>1. Vào màn
2. Quan sát</t>
  </si>
  <si>
    <t>User: có quyền TP, quản lý 0 phòng</t>
  </si>
  <si>
    <t>- KHÔNG thấy phiếu nào thuộc quyền department đó (tập phòng quản lý rỗng → whereIn([-1]))
- Vẫn thấy phiếu thuộc các quyền company-scope khác (nếu có)</t>
  </si>
  <si>
    <t>BR — myDeptIds rỗng → không match phiếu department</t>
  </si>
  <si>
    <t>TC-ROLE-05</t>
  </si>
  <si>
    <t>Phiếu chỉ định đích danh chỉ hiện với người được gán</t>
  </si>
  <si>
    <t>1 phiếu firm_contract đã chuyển duyệt BGĐ (approver_id = userA.id). Có userA (được gán) và userB (cũng có quyền BGĐ nhưng không được gán)</t>
  </si>
  <si>
    <t>1. Đăng nhập userA, vào màn → tìm phiếu
2. Đăng nhập userB, vào màn → tìm phiếu</t>
  </si>
  <si>
    <t>userA = approver_id; userB có quyền BGĐ</t>
  </si>
  <si>
    <t>- userA THẤY phiếu (nhánh approver_id NOT NULL AND = user.id)
- userB KHÔNG thấy phiếu</t>
  </si>
  <si>
    <t>BR — nhánh (a) approver_id đích danh ưu tiên, chặn người khác cùng quyền</t>
  </si>
  <si>
    <t>TC-ROLE-06</t>
  </si>
  <si>
    <t>User có NHIỀU loại quyền → hộp duyệt là HỢP các phạm vi</t>
  </si>
  <si>
    <t>User vừa có quyền company-scope (Kế toán) vừa department-scope (Trưởng phòng, quản lý phòng X)</t>
  </si>
  <si>
    <t>1. Vào màn
2. Quan sát các loại phiếu</t>
  </si>
  <si>
    <t>User: đa quyền</t>
  </si>
  <si>
    <t>- Thấy phiếu Kế toán toàn công ty + phiếu TP phòng X
- Tổng = union, không trùng lặp dòng</t>
  </si>
  <si>
    <t>BR — builder OR nhiều nhánh (company OR department OR part OR approver_id)</t>
  </si>
  <si>
    <t>I. HIỂN THỊ TRANG &amp; TRUY CẬP</t>
  </si>
  <si>
    <t>HIỂN THỊ TRANG &amp; TRUY CẬP</t>
  </si>
  <si>
    <t>TC_01.001</t>
  </si>
  <si>
    <t>Load trang danh sách đầy đủ layout</t>
  </si>
  <si>
    <t>User có quyền xem, hộp duyệt có phiếu</t>
  </si>
  <si>
    <t>1. Vào /admin/approval-inbox
2. Quan sát toàn bộ layout</t>
  </si>
  <si>
    <t>User: DNS Admin</t>
  </si>
  <si>
    <t>- Tiêu đề trang 'Phiếu chờ duyệt'
- Vùng bộ lọc (7 filter + nút Tìm kiếm/Làm mới/Xuất Excel)
- Bảng 8 cột
- Phân trang dưới bảng
- KHÔNG có sidebar 'Lọc theo nhóm' (đã bỏ, full-width)</t>
  </si>
  <si>
    <t>—</t>
  </si>
  <si>
    <t>TC_01.002</t>
  </si>
  <si>
    <t>Badge menu hiển thị đúng số phiếu chờ</t>
  </si>
  <si>
    <t>Hộp duyệt user có đúng N phiếu PENDING</t>
  </si>
  <si>
    <t>1. Quan sát menu 'Phiếu chờ duyệt (N)' trên thanh menu</t>
  </si>
  <si>
    <t>N = pendingCountForUser</t>
  </si>
  <si>
    <t>- Badge hiển thị số N = tổng phiếu PENDING trong hộp duyệt user
- N=0 thì không hiện badge</t>
  </si>
  <si>
    <t>Ô badge = ApprovalInbox::pendingCountForUser(user)</t>
  </si>
  <si>
    <t>TC_01.003</t>
  </si>
  <si>
    <t>Menu cũ 'Chờ duyệt' đã bị gỡ</t>
  </si>
  <si>
    <t>P2</t>
  </si>
  <si>
    <t>User đăng nhập</t>
  </si>
  <si>
    <t>1. Quan sát thanh menu top</t>
  </si>
  <si>
    <t>- KHÔNG còn menu mega 'Chờ duyệt' cũ
- Chỉ còn menu 'Phiếu chờ duyệt' (Danh sách + Báo cáo phê duyệt)</t>
  </si>
  <si>
    <t>BR — menu cũ đã comment {{-- --}} trong topmenubar.blade.php</t>
  </si>
  <si>
    <t>TC_01.004</t>
  </si>
  <si>
    <t>Menu con Báo cáo chỉ hiện khi có quyền</t>
  </si>
  <si>
    <t>User có 'Xem phiếu chờ duyệt tập trung' nhưng KHÔNG có 'Xem báo cáo phê duyệt'</t>
  </si>
  <si>
    <t>1. Mở menu 'Phiếu chờ duyệt'
2. Quan sát submenu</t>
  </si>
  <si>
    <t>User: chỉ quyền xem danh sách</t>
  </si>
  <si>
    <t>- Có 'Danh sách phiếu chờ duyệt'
- KHÔNG có 'Báo cáo phê duyệt'</t>
  </si>
  <si>
    <t>@can('Xem báo cáo phê duyệt') bọc submenu báo cáo</t>
  </si>
  <si>
    <t>II. BỘ LỌC &amp; TÌM KIẾM</t>
  </si>
  <si>
    <t>BỘ LỌC &amp; TÌM KIẾM</t>
  </si>
  <si>
    <t>TC_02.001</t>
  </si>
  <si>
    <t>Lọc theo Loại phiếu (có kèm số lượng)</t>
  </si>
  <si>
    <t>Hộp duyệt có nhiều loại; loại 'YC xuất giữ' có n phiếu</t>
  </si>
  <si>
    <t>1. Mở select 'Loại phiếu'
2. Chọn 'YC xuất giữ (n)'
3. Quan sát danh sách + footInfo</t>
  </si>
  <si>
    <t>Chọn 1 loại có n phiếu</t>
  </si>
  <si>
    <t>- Option hiển thị 'Nhãn (n)' với n = số phiếu loại đó
- Danh sách chỉ còn phiếu loại đã chọn
- footInfo = 'Hiển thị 1–.. / n phiếu'
- Về trang 1</t>
  </si>
  <si>
    <t>Ô option = typeCounts[doc_type]; filter doc_type</t>
  </si>
  <si>
    <t>TC_02.002</t>
  </si>
  <si>
    <t>Option 'Tất cả loại (N)' hiển thị tổng</t>
  </si>
  <si>
    <t>Hộp duyệt có tổng N phiếu</t>
  </si>
  <si>
    <t>1. Mở select 'Loại phiếu'
2. Quan sát option đầu</t>
  </si>
  <si>
    <t>N = total</t>
  </si>
  <si>
    <t>- Option đầu = '— Tất cả loại (N) —'
- Chọn nó → hiện tất cả loại</t>
  </si>
  <si>
    <t>N = total (pendingCountForUser)</t>
  </si>
  <si>
    <t>TC_02.003</t>
  </si>
  <si>
    <t>Cascade Phòng ban → Bộ phận</t>
  </si>
  <si>
    <t>Hộp duyệt có phiếu ở phòng X (có bộ phận X1, X2)</t>
  </si>
  <si>
    <t>1. Chọn Phòng ban = X
2. Mở select Bộ phận</t>
  </si>
  <si>
    <t>Phòng X có bộ phận X1, X2</t>
  </si>
  <si>
    <t>- Select Bộ phận chỉ hiện bộ phận thuộc phòng X (X1, X2)
- Trước khi chọn phòng: Bộ phận = '— Chọn phòng ban trước —'</t>
  </si>
  <si>
    <t>FE cascade client-side AI_PARTS.filter(part.department_id == dept)</t>
  </si>
  <si>
    <t>TC_02.004</t>
  </si>
  <si>
    <t>Danh mục Phòng ban GIỚI HẠN theo hộp duyệt user</t>
  </si>
  <si>
    <t>User department-scope quản lý phòng X (có phiếu). Hệ thống có nhiều phòng khác không phiếu</t>
  </si>
  <si>
    <t>1. Mở select 'Phòng ban'
2. Quan sát danh sách phòng</t>
  </si>
  <si>
    <t>User quản lý phòng X</t>
  </si>
  <si>
    <t>- Chỉ hiện các phòng CÓ PHIẾU trong hộp duyệt user (không hiện toàn bộ bảng phòng ban)
- Không có option 'chết' (chọn ra 0 phiếu)</t>
  </si>
  <si>
    <t>BR — scopeDeptIds = distinct department_id của pendingBuilderForUser</t>
  </si>
  <si>
    <t>TC_02.005</t>
  </si>
  <si>
    <t>Người yêu cầu — select search, data theo phòng/bộ phận</t>
  </si>
  <si>
    <t>Chọn Phòng ban = X</t>
  </si>
  <si>
    <t>1. Chọn Phòng ban X
2. Mở 'Người yêu cầu', gõ tên NV
3. Quan sát gợi ý</t>
  </si>
  <si>
    <t>Gõ 1 phần tên NV phòng X</t>
  </si>
  <si>
    <t>- Gợi ý chỉ gồm người GỬI phiếu trong hộp duyệt user + thuộc phòng X (nếu đã chọn)
- KHÔNG trả toàn bộ nhân viên hệ thống</t>
  </si>
  <si>
    <t>BR — employeeOptions giới hạn requesterIds ∈ hộp duyệt user + lọc theo company/dept/part đang chọn</t>
  </si>
  <si>
    <t>TC_02.006</t>
  </si>
  <si>
    <t>Lọc Từ ngày / Đến ngày theo Thời gian gửi</t>
  </si>
  <si>
    <t>Phiếu A submitted_at=05/07/2026, phiếu B submitted_at=20/07/2026</t>
  </si>
  <si>
    <t>1. Từ ngày = 10/07/2026, Đến ngày = 31/07/2026
2. Tìm kiếm</t>
  </si>
  <si>
    <t>From=10/07, To=31/07</t>
  </si>
  <si>
    <t>- Hiện phiếu B (20/07)
- KHÔNG hiện phiếu A (05/07)</t>
  </si>
  <si>
    <t>Range: whereDate(submitted_at) &gt;= from AND &lt;= to</t>
  </si>
  <si>
    <t>TC_02.007</t>
  </si>
  <si>
    <t>Tìm kiếm theo Mã phiếu</t>
  </si>
  <si>
    <t>Có phiếu mã 'PYCXH-33920'</t>
  </si>
  <si>
    <t>1. Nhập 'PYCXH-33920' (hoặc '33920') ô Tìm kiếm
2. Enter / bấm Tìm kiếm</t>
  </si>
  <si>
    <t>Từ khoá = 33920</t>
  </si>
  <si>
    <t>- Danh sách lọc còn phiếu có code chứa '33920'
- Tìm kiếm dạng LIKE %kw%</t>
  </si>
  <si>
    <t>filter code LIKE %kw%</t>
  </si>
  <si>
    <t>TC_02.008</t>
  </si>
  <si>
    <t>Nút Làm mới reset toàn bộ bộ lọc</t>
  </si>
  <si>
    <t>Đang có nhiều filter đang chọn (loại, phòng, ngày, tìm kiếm)</t>
  </si>
  <si>
    <t>1. Bấm 'Làm mới'
2. Quan sát</t>
  </si>
  <si>
    <t>- Mọi filter về mặc định (loại='Tất cả', phòng/bộ phận/người yêu cầu trống, ngày trống, tìm kiếm trống)
- Danh sách tải lại toàn bộ, về trang 1</t>
  </si>
  <si>
    <t>resetFilters()</t>
  </si>
  <si>
    <t>TC_02.009</t>
  </si>
  <si>
    <t>ĐÃ BỎ lọc Công ty</t>
  </si>
  <si>
    <t>1. Quan sát vùng bộ lọc</t>
  </si>
  <si>
    <t>- KHÔNG có dropdown 'Công ty' (vì chỉ 1 công ty của user)
- Filter đầu tiên là 'Phòng ban'</t>
  </si>
  <si>
    <t>BR — bỏ f-company; scope đã theo hộp duyệt user</t>
  </si>
  <si>
    <t>TC_02.010</t>
  </si>
  <si>
    <t>ĐÃ BỎ lọc Quyền áp dụng</t>
  </si>
  <si>
    <t>- KHÔNG có dropdown 'Quyền áp dụng' trong bộ lọc
- (Cột 'Quyền áp dụng' trong BẢNG vẫn còn)</t>
  </si>
  <si>
    <t>BR — bỏ filter f-level, giữ cột hiển thị</t>
  </si>
  <si>
    <t>TC_02.011</t>
  </si>
  <si>
    <t>Thứ tự bộ lọc đúng yêu cầu</t>
  </si>
  <si>
    <t>1. Quan sát thứ tự các filter trái→phải</t>
  </si>
  <si>
    <t>- Thứ tự: Phòng ban → Bộ phận → Người yêu cầu → Loại phiếu → Từ ngày → Đến ngày → Tìm kiếm</t>
  </si>
  <si>
    <t>TC_02.012</t>
  </si>
  <si>
    <t>Select filter là dạng search (select2)</t>
  </si>
  <si>
    <t>Có nhiều option loại/phòng</t>
  </si>
  <si>
    <t>1. Click select 'Loại phiếu'
2. Gõ 1 phần nhãn để lọc option</t>
  </si>
  <si>
    <t>Gõ 'xuất'</t>
  </si>
  <si>
    <t>- Select mở dropdown có ô tìm kiếm
- Gõ lọc được option theo tên
- Mở dropdown KHÔNG làm vỡ layout / tràn ngang màn hình</t>
  </si>
  <si>
    <t>BR — select2 (bỏ dropdownAutoWidth để không vỡ layout)</t>
  </si>
  <si>
    <t>III. THỐNG KÊ ĐẦU TRANG / ĐẾM</t>
  </si>
  <si>
    <t>THỐNG KÊ ĐẦU TRANG / ĐẾM</t>
  </si>
  <si>
    <t>TC_03.001</t>
  </si>
  <si>
    <t>footInfo phản ánh đúng tổng theo bộ lọc</t>
  </si>
  <si>
    <t>Lọc ra M phiếu</t>
  </si>
  <si>
    <t>1. Áp 1 bộ lọc
2. Quan sát footInfo + listCount</t>
  </si>
  <si>
    <t>Kết quả M phiếu</t>
  </si>
  <si>
    <t>- footInfo = 'Hiển thị {from}–{to} / M phiếu'
- listCount góc phải = 'M phiếu'</t>
  </si>
  <si>
    <t>recordsFiltered = M</t>
  </si>
  <si>
    <t>TC_03.002</t>
  </si>
  <si>
    <t>Số trong option loại = số thực tế</t>
  </si>
  <si>
    <t>Loại 'HĐ trong nước' có k phiếu trong hộp duyệt</t>
  </si>
  <si>
    <t>1. Mở select loại
2. Đọc số trong '(k)'
3. Chọn loại đó, đối chiếu footInfo</t>
  </si>
  <si>
    <t>k = typeCounts</t>
  </si>
  <si>
    <t>- Số '(k)' khớp số phiếu khi lọc đúng loại đó</t>
  </si>
  <si>
    <t>typeCounts group by doc_type</t>
  </si>
  <si>
    <t>IV. DANH SÁCH / GRID DỮ LIỆU</t>
  </si>
  <si>
    <t>DANH SÁCH / GRID DỮ LIỆU</t>
  </si>
  <si>
    <t>TC_04.001</t>
  </si>
  <si>
    <t>Cột STT liên tục qua các trang</t>
  </si>
  <si>
    <t>Có &gt; 50 phiếu, page-size = 50</t>
  </si>
  <si>
    <t>1. Xem STT trang 1 (1..50)
2. Sang trang 2
3. Xem STT dòng đầu</t>
  </si>
  <si>
    <t>Trang 2</t>
  </si>
  <si>
    <t>- Trang 1: STT 1..50
- Trang 2: STT bắt đầu 51 (liên tục, không reset về 1)</t>
  </si>
  <si>
    <t>STT = offset + i + 1</t>
  </si>
  <si>
    <t>TC_04.002</t>
  </si>
  <si>
    <t>Cột Loại phiếu hiển thị badge màu theo nhóm</t>
  </si>
  <si>
    <t>Phiếu thuộc nhóm QUAN_LY_HOP_DONG / KE_TOAN_KHO…</t>
  </si>
  <si>
    <t>1. Quan sát cột Loại phiếu</t>
  </si>
  <si>
    <t>- Nhãn loại hiển thị dạng badge bo tròn, màu theo group_code (GB map)</t>
  </si>
  <si>
    <t>TC_04.003</t>
  </si>
  <si>
    <t>Cột Mã phiếu là deep-link mở TAB MỚI</t>
  </si>
  <si>
    <t>Phiếu có approve_route hợp lệ</t>
  </si>
  <si>
    <t>1. Click mã phiếu (có icon ↗)
2. Quan sát</t>
  </si>
  <si>
    <t>- Mở TAB MỚI (target=_blank) tới trang chi tiết phiếu gốc = route(approve_route, source_id)
- Ví dụ YC nhập hàng → /admin/warehouse/product_import_requests/{id}/show</t>
  </si>
  <si>
    <t>deep-link = route(approve_route, approve_params.id)</t>
  </si>
  <si>
    <t>TC_04.004</t>
  </si>
  <si>
    <t>Cột Đối tác hiển thị tag KH/NCC + tên</t>
  </si>
  <si>
    <t>Phiếu có partner KH; phiếu khác partner NCC; phiếu khác không partner</t>
  </si>
  <si>
    <t>1. Quan sát cột Đối tác của 3 phiếu</t>
  </si>
  <si>
    <t>- KH → tag 'KH' (xanh) + tên khách hàng
- NCC → tag 'NCC' (xám) + tên nhà cung cấp
- Không partner → '—'</t>
  </si>
  <si>
    <t>partner_type kh/ncc</t>
  </si>
  <si>
    <t>TC_04.005</t>
  </si>
  <si>
    <t>Cột Đối tác dài quá bị cắt '…' + hover xem full</t>
  </si>
  <si>
    <t>Phiếu có partner tên rất dài (&gt; ~30 ký tự)</t>
  </si>
  <si>
    <t>1. Quan sát ô đối tác
2. Rê chuột hover lên tên</t>
  </si>
  <si>
    <t>Tên NCC dài</t>
  </si>
  <si>
    <t>- Tên bị cắt ngắn kết thúc bằng '…' (không xuống dòng, không phá bảng)
- Hover hiện tooltip title = tên đầy đủ</t>
  </si>
  <si>
    <t>BR — .partner max-width 260px, .pname ellipsis + title</t>
  </si>
  <si>
    <t>TC_04.006</t>
  </si>
  <si>
    <t>Cột Người yêu cầu có phòng ban subtext</t>
  </si>
  <si>
    <t>Phiếu do NV 'Phạm Minh Hiếu' phòng 'PHÒNG THIẾT BỊ Ô TÔ 1' gửi</t>
  </si>
  <si>
    <t>1. Quan sát cột Người yêu cầu</t>
  </si>
  <si>
    <t>- Dòng trên: avatar + tên NV
- Dòng dưới (subtext nhỏ, xám): tên PHÒNG BAN của phiếu</t>
  </si>
  <si>
    <t>department_name lấy từ approval_inbox.department_id</t>
  </si>
  <si>
    <t>TC_04.007</t>
  </si>
  <si>
    <t>Cột Thời gian gửi định dạng ngày + giờ</t>
  </si>
  <si>
    <t>Phiếu submitted_at = 2026-07-07 14:39</t>
  </si>
  <si>
    <t>1. Quan sát cột Thời gian gửi</t>
  </si>
  <si>
    <t>- Hiển thị '07/07/2026 14:39' (dd/mm/yyyy HH:mm)</t>
  </si>
  <si>
    <t>format submitted_at d/m/Y H:i</t>
  </si>
  <si>
    <t>TC_04.008</t>
  </si>
  <si>
    <t>Cột Quyền áp dụng hiển thị đúng quyền cấp hiện tại</t>
  </si>
  <si>
    <t>Phiếu YC xuất hàng ở cấp BGĐ</t>
  </si>
  <si>
    <t>1. Quan sát cột Quyền áp dụng</t>
  </si>
  <si>
    <t>- Hiển thị tên required_permission cấp hiện tại (vd 'Ban giám đốc duyệt xuất hàng vượt hạn mức công nợ')</t>
  </si>
  <si>
    <t>required_permission</t>
  </si>
  <si>
    <t>TC_04.009</t>
  </si>
  <si>
    <t>Nút Duyệt (cột Hành động) mở phiếu để duyệt</t>
  </si>
  <si>
    <t>Phiếu có approve_route</t>
  </si>
  <si>
    <t>1. Bấm nút 'Duyệt'</t>
  </si>
  <si>
    <t>- Điều hướng tới trang chi tiết phiếu gốc để thực hiện duyệt (cùng đích deep-link mã phiếu)</t>
  </si>
  <si>
    <t>action link route(approve_route, id)</t>
  </si>
  <si>
    <t>TC_04.010</t>
  </si>
  <si>
    <t>Phân trang: đổi page-size</t>
  </si>
  <si>
    <t>Có &gt; 100 phiếu</t>
  </si>
  <si>
    <t>1. Chọn page-size = 100
2. Quan sát số dòng + số trang</t>
  </si>
  <si>
    <t>page-size = 100</t>
  </si>
  <si>
    <t>- Hiển thị tối đa 100 dòng/trang
- Số trang tính lại theo total/100
- Về trang 1</t>
  </si>
  <si>
    <t>server-side length</t>
  </si>
  <si>
    <t>TC_04.011</t>
  </si>
  <si>
    <t>Phân trang: nút ‹ vô hiệu ở trang 1</t>
  </si>
  <si>
    <t>Đang ở trang 1, có nhiều trang</t>
  </si>
  <si>
    <t>1. Quan sát nút ‹ (prev)</t>
  </si>
  <si>
    <t>Trang 1</t>
  </si>
  <si>
    <t>- Nút ‹ disabled
- Nút › enabled</t>
  </si>
  <si>
    <t>TC_04.012</t>
  </si>
  <si>
    <t>Đổi bộ lọc thì quay về trang 1</t>
  </si>
  <si>
    <t>Đang ở trang 3</t>
  </si>
  <si>
    <t>1. Đổi 1 filter bất kỳ (loại phiếu)
2. Quan sát trang hiện tại</t>
  </si>
  <si>
    <t>- Danh sách tải lại và về trang 1 (page=1)</t>
  </si>
  <si>
    <t>loadRows(false) reset page</t>
  </si>
  <si>
    <t>TC_04.013</t>
  </si>
  <si>
    <t>Bảng cuộn ngang khi nội dung dài, không xuống dòng</t>
  </si>
  <si>
    <t>Màn hình hẹp / nhiều cột dài</t>
  </si>
  <si>
    <t>1. Thu nhỏ cửa sổ
2. Quan sát bảng</t>
  </si>
  <si>
    <t>- Ô dữ liệu KHÔNG wrap nhiều dòng
- Bảng cuộn NGANG (overflow-x) trong khung, không phá layout trang</t>
  </si>
  <si>
    <t>BR — td nowrap + tablewrap overflow-x:auto</t>
  </si>
  <si>
    <t>V. CHỨC NĂNG CHÍNH — XUẤT EXCEL</t>
  </si>
  <si>
    <t>CHỨC NĂNG CHÍNH — XUẤT EXCEL</t>
  </si>
  <si>
    <t>TC_05.001</t>
  </si>
  <si>
    <t>Xuất Excel theo đúng bộ lọc hiện tại</t>
  </si>
  <si>
    <t>Đang lọc loại = 'Quyết toán HĐ'</t>
  </si>
  <si>
    <t>1. Bấm 'Xuất Excel'
2. Mở file tải về</t>
  </si>
  <si>
    <t>Lọc loại Quyết toán HĐ</t>
  </si>
  <si>
    <t>- File .xlsx tải về (Content-Type spreadsheetml, tên phieu-cho-duyet-YYYYMMDD-HHMMSS.xlsx)
- Nội dung CHỈ gồm phiếu khớp bộ lọc đang áp (không phân trang — xuất toàn bộ)</t>
  </si>
  <si>
    <t>BR — exportExcel dùng chung applyFilters, bỏ start/length</t>
  </si>
  <si>
    <t>TC_05.002</t>
  </si>
  <si>
    <t>File Excel đủ 8 cột đúng thứ tự</t>
  </si>
  <si>
    <t>Có phiếu để xuất</t>
  </si>
  <si>
    <t>1. Xuất Excel
2. Mở file, xem header</t>
  </si>
  <si>
    <t>- Cột: STT | Loại phiếu | Mã phiếu | Đối tác | Người yêu cầu | Phòng ban | Thời gian gửi | Quyền áp dụng
- Header đậm, có border</t>
  </si>
  <si>
    <t>ApprovalInboxExcel headings</t>
  </si>
  <si>
    <t>TC_05.003</t>
  </si>
  <si>
    <t>Xuất Excel không có phiếu khớp</t>
  </si>
  <si>
    <t>Bộ lọc ra 0 phiếu (vd tìm mã không tồn tại)</t>
  </si>
  <si>
    <t>1. Lọc ra 0 phiếu
2. Bấm Xuất Excel</t>
  </si>
  <si>
    <t>0 phiếu</t>
  </si>
  <si>
    <t>- File xuất ra chỉ có dòng header, không có dòng dữ liệu (không lỗi)</t>
  </si>
  <si>
    <t>TC_05.004</t>
  </si>
  <si>
    <t>Cột Đối tác trong Excel có tiền tố KH:/NCC:</t>
  </si>
  <si>
    <t>Phiếu có partner</t>
  </si>
  <si>
    <t>1. Xuất Excel
2. Xem cột Đối tác</t>
  </si>
  <si>
    <t>- Giá trị dạng 'KH: &lt;tên&gt;' hoặc 'NCC: &lt;tên&gt;'; không partner để trống</t>
  </si>
  <si>
    <t>VI. EDGE CASES &amp; VALIDATION</t>
  </si>
  <si>
    <t>EDGE CASES &amp; VALIDATION</t>
  </si>
  <si>
    <t>TC_06.001</t>
  </si>
  <si>
    <t>Hộp duyệt rỗng</t>
  </si>
  <si>
    <t>User không có phiếu nào chờ duyệt</t>
  </si>
  <si>
    <t>1. Vào màn</t>
  </si>
  <si>
    <t>User: 0 phiếu</t>
  </si>
  <si>
    <t>- Bảng hiện dòng 'Không có phiếu nào khớp bộ lọc'
- footInfo = 'Không có phiếu'
- Badge menu không hiện</t>
  </si>
  <si>
    <t>TC_06.002</t>
  </si>
  <si>
    <t>Phiếu có company_id/department_id = NULL vẫn hiện với quyền company</t>
  </si>
  <si>
    <t>Phiếu doc_type='addition_accounting_request' type=7 (company_id NULL); user có quyền company-scope tương ứng</t>
  </si>
  <si>
    <t>1. Vào màn
2. Tìm phiếu đó</t>
  </si>
  <si>
    <t>Phiếu company_id NULL</t>
  </si>
  <si>
    <t>- Phiếu VẪN hiện (company scope: company_id NULL OR = cty user)
- Không đóng góp vào danh mục Phòng ban (department_id NULL) nhưng lọc 'Tất cả phòng ban' vẫn thấy</t>
  </si>
  <si>
    <t>BR — vài luồng P5 gate cross-company → company_id NULL cố ý</t>
  </si>
  <si>
    <t>TC_06.003</t>
  </si>
  <si>
    <t>Phiếu nộp thẳng cấp cao (bỏ qua cấp gốc) — hiển thị nhờ backfill</t>
  </si>
  <si>
    <t>Phiếu YC xuất hàng tạo thẳng status=10 (bỏ qua CHO_DUYET); đã chạy backfill</t>
  </si>
  <si>
    <t>1. Vào màn
2. Tìm phiếu</t>
  </si>
  <si>
    <t>Phiếu nộp thẳng cấp TP</t>
  </si>
  <si>
    <t>- Phiếu vẫn hiện đúng cấp (backfill bắt được)
- (Lưu ý known-gap: live hook chưa push khi nộp thẳng — cần backfill định kỳ)</t>
  </si>
  <si>
    <t>BR — gap push-condition luồng multi-level, backfill là lưới an toàn</t>
  </si>
  <si>
    <t>TC_06.004</t>
  </si>
  <si>
    <t>Chọn trang vượt quá tổng số trang</t>
  </si>
  <si>
    <t>Có 3 trang, đang page 3, rồi lọc còn 1 trang</t>
  </si>
  <si>
    <t>1. Ở trang cao
2. Áp lọc thu hẹp còn ít phiếu</t>
  </si>
  <si>
    <t>- page tự kẹp về totalPages hợp lệ, không hiện trang trống lỗi</t>
  </si>
  <si>
    <t>renderPager kẹp page</t>
  </si>
  <si>
    <t>TC_06.005</t>
  </si>
  <si>
    <t>Tên đối tác/tên phiếu chứa ký tự đặc biệt &lt; &gt; &amp; " '</t>
  </si>
  <si>
    <t>Phiếu có partner_name chứa ký tự HTML đặc biệt</t>
  </si>
  <si>
    <t>1. Xem cột Đối tác</t>
  </si>
  <si>
    <t>Partner: 'CTY &lt;A&amp;B&gt;'</t>
  </si>
  <si>
    <t>- Hiển thị đúng nguyên văn ký tự, KHÔNG bị chèn HTML (đã esc())</t>
  </si>
  <si>
    <t>BR — chống XSS: esc() mọi field render</t>
  </si>
  <si>
    <t>VII. CÔ LẬP DỮ LIỆU &amp; BẢO MẬT</t>
  </si>
  <si>
    <t>CÔ LẬP DỮ LIỆU &amp; BẢO MẬT</t>
  </si>
  <si>
    <t>TC_07.001</t>
  </si>
  <si>
    <t>Không thấy phiếu ngoài phạm vi quyền của mình</t>
  </si>
  <si>
    <t>User A (TP phòng X) và có phiếu phòng Y (không quản lý)</t>
  </si>
  <si>
    <t>1. Đăng nhập A
2. Tìm phiếu phòng Y bằng bộ lọc/tìm kiếm</t>
  </si>
  <si>
    <t>User A không quản lý phòng Y</t>
  </si>
  <si>
    <t>- Không có cách nào (kể cả tìm theo mã) làm hiện phiếu phòng Y trong hộp duyệt A
- searchData luôn xuất phát từ pendingBuilderForUser(user)</t>
  </si>
  <si>
    <t>BR — mọi query gốc = pendingForCurrentUser, filter chỉ thu hẹp thêm</t>
  </si>
  <si>
    <t>TC_07.002</t>
  </si>
  <si>
    <t>Endpoint search-data/employees/export đều gate quyền</t>
  </si>
  <si>
    <t>User không có 'Xem phiếu chờ duyệt tập trung'</t>
  </si>
  <si>
    <t>1. Gọi thẳng /admin/approval-inbox/search-data (và /employees, /export)</t>
  </si>
  <si>
    <t>User không quyền</t>
  </si>
  <si>
    <t>- Bị chặn checkPermission (403/redirect), không trả dữ liệu</t>
  </si>
  <si>
    <t>BR — middleware trên cả 4 route</t>
  </si>
  <si>
    <t>TC_07.003</t>
  </si>
  <si>
    <t>Danh mục lọc không lộ phòng/người ngoài phạm vi</t>
  </si>
  <si>
    <t>User department-scope quản lý phòng X</t>
  </si>
  <si>
    <t>1. Mở select Phòng ban / Người yêu cầu</t>
  </si>
  <si>
    <t>- Select Phòng ban chỉ có phòng trong hộp duyệt (không lộ toàn bộ cơ cấu công ty)
- Người yêu cầu chỉ gồm người gửi phiếu trong hộp duyệt</t>
  </si>
  <si>
    <t>BR — scopeDeptIds/scopePartIds + requesterIds giới hạn theo builder</t>
  </si>
  <si>
    <t>TC_07.004</t>
  </si>
  <si>
    <t>Xuất Excel cũng chỉ trong phạm vi hộp duyệt</t>
  </si>
  <si>
    <t>User A hộp duyệt có 20 phiếu</t>
  </si>
  <si>
    <t>1. Đăng nhập A
2. Xuất Excel (không lọc gì)</t>
  </si>
  <si>
    <t>User A</t>
  </si>
  <si>
    <t>- File chỉ chứa ≤ 20 phiếu của A, không rò phiếu người/phòng khác</t>
  </si>
  <si>
    <t>exportExcel dùng pendingForCurrentUser</t>
  </si>
  <si>
    <t>VIII. E2E FLOW</t>
  </si>
  <si>
    <t>E2E FLOW</t>
  </si>
  <si>
    <t>TC_08.001</t>
  </si>
  <si>
    <t>Lọc phòng → chọn người yêu cầu → mở phiếu duyệt</t>
  </si>
  <si>
    <t>User có phiếu ở phòng X do NV Nguyễn Văn A gửi</t>
  </si>
  <si>
    <t>1. Chọn Phòng ban X
2. Chọn Người yêu cầu = Nguyễn Văn A
3. Bấm mã phiếu / nút Duyệt
4. Duyệt trên trang chi tiết</t>
  </si>
  <si>
    <t>Phòng X, NV A</t>
  </si>
  <si>
    <t>- Danh sách lọc đúng phiếu phòng X của A
- Deep-link mở đúng phiếu gốc
- Sau khi duyệt trên màn gốc, phiếu rời hộp duyệt (sau đồng bộ live hook/backfill)</t>
  </si>
  <si>
    <t>E2E: lọc → deep-link → duyệt</t>
  </si>
  <si>
    <t>TC_08.002</t>
  </si>
  <si>
    <t>Lọc theo thời gian gửi → xuất Excel</t>
  </si>
  <si>
    <t>Có phiếu nhiều mốc submitted_at</t>
  </si>
  <si>
    <t>1. Đặt Từ ngày/Đến ngày
2. Kiểm danh sách
3. Bấm Xuất Excel
4. Đối chiếu file</t>
  </si>
  <si>
    <t>From/To cụ thể</t>
  </si>
  <si>
    <t>- Danh sách và file Excel cùng tập phiếu (khớp bộ lọc thời gian)
- Số dòng file = tổng theo lọc</t>
  </si>
  <si>
    <t>E2E: filter thời gian →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</si>
</sst>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2"/>
      <color rgb="FF1F4E7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D6E4F0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3" borderId="0" xfId="0" applyFont="1" applyFill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3" fillId="0" borderId="1" xfId="0" applyFont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7" fillId="5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9"/>
  <sheetViews>
    <sheetView tabSelected="1" topLeftCell="A59" workbookViewId="0">
      <selection activeCell="D79" sqref="D79"/>
    </sheetView>
  </sheetViews>
  <sheetFormatPr baseColWidth="10" defaultColWidth="8.83203125" defaultRowHeight="15" x14ac:dyDescent="0.2"/>
  <cols>
    <col min="1" max="2" width="22" customWidth="1"/>
    <col min="3" max="3" width="16" customWidth="1"/>
    <col min="4" max="4" width="42" customWidth="1"/>
    <col min="5" max="5" width="10" customWidth="1"/>
    <col min="6" max="6" width="32" customWidth="1"/>
    <col min="7" max="7" width="55" customWidth="1"/>
    <col min="8" max="8" width="22" customWidth="1"/>
    <col min="9" max="9" width="65" customWidth="1"/>
    <col min="10" max="10" width="35" customWidth="1"/>
    <col min="11" max="11" width="18" customWidth="1"/>
    <col min="12" max="14" width="16" customWidth="1"/>
    <col min="15" max="15" width="22" customWidth="1"/>
  </cols>
  <sheetData>
    <row r="1" spans="1:15" ht="22" customHeight="1" x14ac:dyDescent="0.2">
      <c r="A1" s="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40" customHeight="1" x14ac:dyDescent="0.2">
      <c r="A2" s="2" t="s">
        <v>1</v>
      </c>
      <c r="B2" s="10" t="s">
        <v>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1:15" ht="120" customHeight="1" x14ac:dyDescent="0.2">
      <c r="A3" s="2" t="s">
        <v>3</v>
      </c>
      <c r="B3" s="10" t="s">
        <v>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2"/>
    </row>
    <row r="4" spans="1:15" ht="90" customHeight="1" x14ac:dyDescent="0.2">
      <c r="A4" s="2" t="s">
        <v>5</v>
      </c>
      <c r="B4" s="10" t="s">
        <v>6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</row>
    <row r="5" spans="1:15" ht="40" customHeight="1" x14ac:dyDescent="0.2">
      <c r="A5" s="2" t="s">
        <v>7</v>
      </c>
      <c r="B5" s="10" t="s">
        <v>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2"/>
    </row>
    <row r="6" spans="1:15" ht="40" customHeight="1" x14ac:dyDescent="0.2">
      <c r="A6" s="2" t="s">
        <v>9</v>
      </c>
      <c r="B6" s="10" t="s">
        <v>10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</row>
    <row r="7" spans="1:15" ht="40" customHeight="1" x14ac:dyDescent="0.2">
      <c r="A7" s="2" t="s">
        <v>11</v>
      </c>
      <c r="B7" s="10" t="s">
        <v>12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2"/>
    </row>
    <row r="8" spans="1:15" ht="75" customHeight="1" x14ac:dyDescent="0.2">
      <c r="A8" s="2" t="s">
        <v>13</v>
      </c>
      <c r="B8" s="10" t="s">
        <v>14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2"/>
    </row>
    <row r="9" spans="1:15" ht="60" customHeight="1" x14ac:dyDescent="0.2">
      <c r="A9" s="2" t="s">
        <v>15</v>
      </c>
      <c r="B9" s="10" t="s">
        <v>16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2"/>
    </row>
    <row r="10" spans="1:15" ht="75" customHeight="1" x14ac:dyDescent="0.2">
      <c r="A10" s="2" t="s">
        <v>17</v>
      </c>
      <c r="B10" s="10" t="s">
        <v>18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</row>
    <row r="11" spans="1:15" ht="28" customHeight="1" x14ac:dyDescent="0.2">
      <c r="A11" s="4" t="s">
        <v>19</v>
      </c>
      <c r="B11" s="16"/>
      <c r="C11" s="16"/>
      <c r="D11" s="16"/>
      <c r="E11" s="16"/>
      <c r="F11" s="17" t="s">
        <v>20</v>
      </c>
      <c r="G11" s="16"/>
      <c r="H11" s="16"/>
      <c r="I11" s="14" t="s">
        <v>21</v>
      </c>
      <c r="J11" s="11"/>
      <c r="K11" s="12"/>
      <c r="L11" s="15">
        <f>COUNTIF(L18:N500,"Passed")</f>
        <v>0</v>
      </c>
      <c r="M11" s="11"/>
      <c r="N11" s="11"/>
      <c r="O11" s="12"/>
    </row>
    <row r="12" spans="1:15" ht="22" customHeight="1" x14ac:dyDescent="0.2">
      <c r="I12" s="14" t="s">
        <v>22</v>
      </c>
      <c r="J12" s="11"/>
      <c r="K12" s="12"/>
      <c r="L12" s="15">
        <f>COUNTIF(L18:N500,"Failed")</f>
        <v>0</v>
      </c>
      <c r="M12" s="11"/>
      <c r="N12" s="11"/>
      <c r="O12" s="12"/>
    </row>
    <row r="13" spans="1:15" ht="22" customHeight="1" x14ac:dyDescent="0.2">
      <c r="I13" s="14" t="s">
        <v>23</v>
      </c>
      <c r="J13" s="11"/>
      <c r="K13" s="12"/>
      <c r="L13" s="15">
        <f>COUNTIF(L18:N500,"Pending")</f>
        <v>0</v>
      </c>
      <c r="M13" s="11"/>
      <c r="N13" s="11"/>
      <c r="O13" s="12"/>
    </row>
    <row r="14" spans="1:15" ht="22" customHeight="1" x14ac:dyDescent="0.2">
      <c r="I14" s="14" t="s">
        <v>24</v>
      </c>
      <c r="J14" s="11"/>
      <c r="K14" s="12"/>
      <c r="L14" s="15">
        <f>COUNTIF(L18:N500,"Not Executed")</f>
        <v>159</v>
      </c>
      <c r="M14" s="11"/>
      <c r="N14" s="11"/>
      <c r="O14" s="12"/>
    </row>
    <row r="15" spans="1:15" ht="22" customHeight="1" x14ac:dyDescent="0.2">
      <c r="I15" s="14" t="s">
        <v>25</v>
      </c>
      <c r="J15" s="11"/>
      <c r="K15" s="12"/>
      <c r="L15" s="15">
        <f>COUNTIF(L18:N500,"&lt;&gt;")</f>
        <v>159</v>
      </c>
      <c r="M15" s="11"/>
      <c r="N15" s="11"/>
      <c r="O15" s="12"/>
    </row>
    <row r="16" spans="1:15" ht="8" customHeight="1" x14ac:dyDescent="0.2"/>
    <row r="17" spans="1:15" ht="36" customHeight="1" x14ac:dyDescent="0.2">
      <c r="A17" s="5" t="s">
        <v>26</v>
      </c>
      <c r="B17" s="5" t="s">
        <v>27</v>
      </c>
      <c r="C17" s="5" t="s">
        <v>28</v>
      </c>
      <c r="D17" s="5" t="s">
        <v>29</v>
      </c>
      <c r="E17" s="5" t="s">
        <v>30</v>
      </c>
      <c r="F17" s="5" t="s">
        <v>31</v>
      </c>
      <c r="G17" s="5" t="s">
        <v>32</v>
      </c>
      <c r="H17" s="5" t="s">
        <v>33</v>
      </c>
      <c r="I17" s="5" t="s">
        <v>34</v>
      </c>
      <c r="J17" s="5" t="s">
        <v>35</v>
      </c>
      <c r="K17" s="5" t="s">
        <v>36</v>
      </c>
      <c r="L17" s="5" t="s">
        <v>37</v>
      </c>
      <c r="M17" s="5" t="s">
        <v>38</v>
      </c>
      <c r="N17" s="5" t="s">
        <v>39</v>
      </c>
      <c r="O17" s="5" t="s">
        <v>40</v>
      </c>
    </row>
    <row r="18" spans="1:15" ht="26" customHeight="1" x14ac:dyDescent="0.2">
      <c r="A18" s="6"/>
      <c r="B18" s="6"/>
      <c r="C18" s="13" t="s">
        <v>41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2"/>
    </row>
    <row r="19" spans="1:15" ht="34" customHeight="1" x14ac:dyDescent="0.2">
      <c r="A19" s="3" t="s">
        <v>42</v>
      </c>
      <c r="B19" s="3" t="s">
        <v>41</v>
      </c>
      <c r="C19" s="3" t="s">
        <v>43</v>
      </c>
      <c r="D19" s="3" t="s">
        <v>44</v>
      </c>
      <c r="E19" s="7" t="s">
        <v>45</v>
      </c>
      <c r="F19" s="3" t="s">
        <v>46</v>
      </c>
      <c r="G19" s="3" t="s">
        <v>47</v>
      </c>
      <c r="H19" s="3" t="s">
        <v>48</v>
      </c>
      <c r="I19" s="3" t="s">
        <v>49</v>
      </c>
      <c r="J19" s="3" t="s">
        <v>50</v>
      </c>
      <c r="K19" s="3"/>
      <c r="L19" s="3" t="s">
        <v>51</v>
      </c>
      <c r="M19" s="3" t="s">
        <v>51</v>
      </c>
      <c r="N19" s="3" t="s">
        <v>51</v>
      </c>
      <c r="O19" s="3"/>
    </row>
    <row r="20" spans="1:15" ht="37" customHeight="1" x14ac:dyDescent="0.2">
      <c r="A20" s="8" t="s">
        <v>42</v>
      </c>
      <c r="B20" s="8" t="s">
        <v>41</v>
      </c>
      <c r="C20" s="8" t="s">
        <v>52</v>
      </c>
      <c r="D20" s="8" t="s">
        <v>53</v>
      </c>
      <c r="E20" s="9" t="s">
        <v>45</v>
      </c>
      <c r="F20" s="8" t="s">
        <v>54</v>
      </c>
      <c r="G20" s="8" t="s">
        <v>55</v>
      </c>
      <c r="H20" s="8" t="s">
        <v>56</v>
      </c>
      <c r="I20" s="8" t="s">
        <v>57</v>
      </c>
      <c r="J20" s="8" t="s">
        <v>58</v>
      </c>
      <c r="K20" s="8"/>
      <c r="L20" s="8" t="s">
        <v>51</v>
      </c>
      <c r="M20" s="8" t="s">
        <v>51</v>
      </c>
      <c r="N20" s="8" t="s">
        <v>51</v>
      </c>
      <c r="O20" s="8"/>
    </row>
    <row r="21" spans="1:15" ht="55" customHeight="1" x14ac:dyDescent="0.2">
      <c r="A21" s="3" t="s">
        <v>42</v>
      </c>
      <c r="B21" s="3" t="s">
        <v>41</v>
      </c>
      <c r="C21" s="3" t="s">
        <v>59</v>
      </c>
      <c r="D21" s="3" t="s">
        <v>60</v>
      </c>
      <c r="E21" s="7" t="s">
        <v>45</v>
      </c>
      <c r="F21" s="3" t="s">
        <v>61</v>
      </c>
      <c r="G21" s="3" t="s">
        <v>62</v>
      </c>
      <c r="H21" s="3" t="s">
        <v>63</v>
      </c>
      <c r="I21" s="3" t="s">
        <v>64</v>
      </c>
      <c r="J21" s="3" t="s">
        <v>65</v>
      </c>
      <c r="K21" s="3"/>
      <c r="L21" s="3" t="s">
        <v>51</v>
      </c>
      <c r="M21" s="3" t="s">
        <v>51</v>
      </c>
      <c r="N21" s="3" t="s">
        <v>51</v>
      </c>
      <c r="O21" s="3"/>
    </row>
    <row r="22" spans="1:15" ht="67" customHeight="1" x14ac:dyDescent="0.2">
      <c r="A22" s="8" t="s">
        <v>42</v>
      </c>
      <c r="B22" s="8" t="s">
        <v>41</v>
      </c>
      <c r="C22" s="8" t="s">
        <v>66</v>
      </c>
      <c r="D22" s="8" t="s">
        <v>67</v>
      </c>
      <c r="E22" s="9" t="s">
        <v>45</v>
      </c>
      <c r="F22" s="8" t="s">
        <v>68</v>
      </c>
      <c r="G22" s="8" t="s">
        <v>69</v>
      </c>
      <c r="H22" s="8" t="s">
        <v>70</v>
      </c>
      <c r="I22" s="8" t="s">
        <v>71</v>
      </c>
      <c r="J22" s="8" t="s">
        <v>72</v>
      </c>
      <c r="K22" s="8"/>
      <c r="L22" s="8" t="s">
        <v>51</v>
      </c>
      <c r="M22" s="8" t="s">
        <v>51</v>
      </c>
      <c r="N22" s="8" t="s">
        <v>51</v>
      </c>
      <c r="O22" s="8"/>
    </row>
    <row r="23" spans="1:15" ht="50" customHeight="1" x14ac:dyDescent="0.2">
      <c r="A23" s="3" t="s">
        <v>42</v>
      </c>
      <c r="B23" s="3" t="s">
        <v>41</v>
      </c>
      <c r="C23" s="3" t="s">
        <v>73</v>
      </c>
      <c r="D23" s="3" t="s">
        <v>74</v>
      </c>
      <c r="E23" s="7" t="s">
        <v>75</v>
      </c>
      <c r="F23" s="3" t="s">
        <v>76</v>
      </c>
      <c r="G23" s="3" t="s">
        <v>77</v>
      </c>
      <c r="H23" s="3" t="s">
        <v>78</v>
      </c>
      <c r="I23" s="3" t="s">
        <v>79</v>
      </c>
      <c r="J23" s="3" t="s">
        <v>80</v>
      </c>
      <c r="K23" s="3"/>
      <c r="L23" s="3" t="s">
        <v>51</v>
      </c>
      <c r="M23" s="3" t="s">
        <v>51</v>
      </c>
      <c r="N23" s="3" t="s">
        <v>51</v>
      </c>
      <c r="O23" s="3"/>
    </row>
    <row r="24" spans="1:15" ht="45" customHeight="1" x14ac:dyDescent="0.2">
      <c r="A24" s="8" t="s">
        <v>42</v>
      </c>
      <c r="B24" s="8" t="s">
        <v>41</v>
      </c>
      <c r="C24" s="8" t="s">
        <v>81</v>
      </c>
      <c r="D24" s="8" t="s">
        <v>82</v>
      </c>
      <c r="E24" s="9" t="s">
        <v>45</v>
      </c>
      <c r="F24" s="8" t="s">
        <v>83</v>
      </c>
      <c r="G24" s="8" t="s">
        <v>84</v>
      </c>
      <c r="H24" s="8" t="s">
        <v>85</v>
      </c>
      <c r="I24" s="8" t="s">
        <v>86</v>
      </c>
      <c r="J24" s="8" t="s">
        <v>87</v>
      </c>
      <c r="K24" s="8"/>
      <c r="L24" s="8" t="s">
        <v>51</v>
      </c>
      <c r="M24" s="8" t="s">
        <v>51</v>
      </c>
      <c r="N24" s="8" t="s">
        <v>51</v>
      </c>
      <c r="O24" s="8"/>
    </row>
    <row r="25" spans="1:15" ht="31" customHeight="1" x14ac:dyDescent="0.2">
      <c r="A25" s="3" t="s">
        <v>42</v>
      </c>
      <c r="B25" s="3" t="s">
        <v>41</v>
      </c>
      <c r="C25" s="3" t="s">
        <v>88</v>
      </c>
      <c r="D25" s="3" t="s">
        <v>89</v>
      </c>
      <c r="E25" s="7" t="s">
        <v>75</v>
      </c>
      <c r="F25" s="3" t="s">
        <v>90</v>
      </c>
      <c r="G25" s="3" t="s">
        <v>91</v>
      </c>
      <c r="H25" s="3" t="s">
        <v>92</v>
      </c>
      <c r="I25" s="3" t="s">
        <v>93</v>
      </c>
      <c r="J25" s="3" t="s">
        <v>94</v>
      </c>
      <c r="K25" s="3"/>
      <c r="L25" s="3" t="s">
        <v>51</v>
      </c>
      <c r="M25" s="3" t="s">
        <v>51</v>
      </c>
      <c r="N25" s="3" t="s">
        <v>51</v>
      </c>
      <c r="O25" s="3"/>
    </row>
    <row r="26" spans="1:15" ht="26" customHeight="1" x14ac:dyDescent="0.2">
      <c r="A26" s="6"/>
      <c r="B26" s="6"/>
      <c r="C26" s="13" t="s">
        <v>95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2"/>
    </row>
    <row r="27" spans="1:15" ht="61" customHeight="1" x14ac:dyDescent="0.2">
      <c r="A27" s="8" t="s">
        <v>42</v>
      </c>
      <c r="B27" s="8" t="s">
        <v>96</v>
      </c>
      <c r="C27" s="8" t="s">
        <v>97</v>
      </c>
      <c r="D27" s="8" t="s">
        <v>98</v>
      </c>
      <c r="E27" s="9" t="s">
        <v>45</v>
      </c>
      <c r="F27" s="8" t="s">
        <v>99</v>
      </c>
      <c r="G27" s="8" t="s">
        <v>100</v>
      </c>
      <c r="H27" s="8" t="s">
        <v>101</v>
      </c>
      <c r="I27" s="8" t="s">
        <v>102</v>
      </c>
      <c r="J27" s="8" t="s">
        <v>103</v>
      </c>
      <c r="K27" s="8"/>
      <c r="L27" s="8" t="s">
        <v>51</v>
      </c>
      <c r="M27" s="8" t="s">
        <v>51</v>
      </c>
      <c r="N27" s="8" t="s">
        <v>51</v>
      </c>
      <c r="O27" s="8"/>
    </row>
    <row r="28" spans="1:15" ht="30" customHeight="1" x14ac:dyDescent="0.2">
      <c r="A28" s="3" t="s">
        <v>42</v>
      </c>
      <c r="B28" s="3" t="s">
        <v>96</v>
      </c>
      <c r="C28" s="3" t="s">
        <v>104</v>
      </c>
      <c r="D28" s="3" t="s">
        <v>105</v>
      </c>
      <c r="E28" s="7" t="s">
        <v>75</v>
      </c>
      <c r="F28" s="3" t="s">
        <v>106</v>
      </c>
      <c r="G28" s="3" t="s">
        <v>107</v>
      </c>
      <c r="H28" s="3" t="s">
        <v>108</v>
      </c>
      <c r="I28" s="3" t="s">
        <v>109</v>
      </c>
      <c r="J28" s="3" t="s">
        <v>110</v>
      </c>
      <c r="K28" s="3"/>
      <c r="L28" s="3" t="s">
        <v>51</v>
      </c>
      <c r="M28" s="3" t="s">
        <v>51</v>
      </c>
      <c r="N28" s="3" t="s">
        <v>51</v>
      </c>
      <c r="O28" s="3"/>
    </row>
    <row r="29" spans="1:15" ht="33" customHeight="1" x14ac:dyDescent="0.2">
      <c r="A29" s="8" t="s">
        <v>42</v>
      </c>
      <c r="B29" s="8" t="s">
        <v>96</v>
      </c>
      <c r="C29" s="8" t="s">
        <v>111</v>
      </c>
      <c r="D29" s="8" t="s">
        <v>112</v>
      </c>
      <c r="E29" s="9" t="s">
        <v>113</v>
      </c>
      <c r="F29" s="8" t="s">
        <v>114</v>
      </c>
      <c r="G29" s="8" t="s">
        <v>115</v>
      </c>
      <c r="H29" s="8" t="s">
        <v>103</v>
      </c>
      <c r="I29" s="8" t="s">
        <v>116</v>
      </c>
      <c r="J29" s="8" t="s">
        <v>117</v>
      </c>
      <c r="K29" s="8"/>
      <c r="L29" s="8" t="s">
        <v>51</v>
      </c>
      <c r="M29" s="8" t="s">
        <v>51</v>
      </c>
      <c r="N29" s="8" t="s">
        <v>51</v>
      </c>
      <c r="O29" s="8"/>
    </row>
    <row r="30" spans="1:15" ht="30" customHeight="1" x14ac:dyDescent="0.2">
      <c r="A30" s="3" t="s">
        <v>42</v>
      </c>
      <c r="B30" s="3" t="s">
        <v>96</v>
      </c>
      <c r="C30" s="3" t="s">
        <v>118</v>
      </c>
      <c r="D30" s="3" t="s">
        <v>119</v>
      </c>
      <c r="E30" s="7" t="s">
        <v>113</v>
      </c>
      <c r="F30" s="3" t="s">
        <v>120</v>
      </c>
      <c r="G30" s="3" t="s">
        <v>121</v>
      </c>
      <c r="H30" s="3" t="s">
        <v>122</v>
      </c>
      <c r="I30" s="3" t="s">
        <v>123</v>
      </c>
      <c r="J30" s="3" t="s">
        <v>124</v>
      </c>
      <c r="K30" s="3"/>
      <c r="L30" s="3" t="s">
        <v>51</v>
      </c>
      <c r="M30" s="3" t="s">
        <v>51</v>
      </c>
      <c r="N30" s="3" t="s">
        <v>51</v>
      </c>
      <c r="O30" s="3"/>
    </row>
    <row r="31" spans="1:15" ht="26" customHeight="1" x14ac:dyDescent="0.2">
      <c r="A31" s="6"/>
      <c r="B31" s="6"/>
      <c r="C31" s="13" t="s">
        <v>125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2"/>
    </row>
    <row r="32" spans="1:15" ht="48" customHeight="1" x14ac:dyDescent="0.2">
      <c r="A32" s="8" t="s">
        <v>42</v>
      </c>
      <c r="B32" s="8" t="s">
        <v>126</v>
      </c>
      <c r="C32" s="8" t="s">
        <v>127</v>
      </c>
      <c r="D32" s="8" t="s">
        <v>128</v>
      </c>
      <c r="E32" s="9" t="s">
        <v>45</v>
      </c>
      <c r="F32" s="8" t="s">
        <v>129</v>
      </c>
      <c r="G32" s="8" t="s">
        <v>130</v>
      </c>
      <c r="H32" s="8" t="s">
        <v>131</v>
      </c>
      <c r="I32" s="8" t="s">
        <v>132</v>
      </c>
      <c r="J32" s="8" t="s">
        <v>133</v>
      </c>
      <c r="K32" s="8"/>
      <c r="L32" s="8" t="s">
        <v>51</v>
      </c>
      <c r="M32" s="8" t="s">
        <v>51</v>
      </c>
      <c r="N32" s="8" t="s">
        <v>51</v>
      </c>
      <c r="O32" s="8"/>
    </row>
    <row r="33" spans="1:15" ht="30" customHeight="1" x14ac:dyDescent="0.2">
      <c r="A33" s="3" t="s">
        <v>42</v>
      </c>
      <c r="B33" s="3" t="s">
        <v>126</v>
      </c>
      <c r="C33" s="3" t="s">
        <v>134</v>
      </c>
      <c r="D33" s="3" t="s">
        <v>135</v>
      </c>
      <c r="E33" s="7" t="s">
        <v>75</v>
      </c>
      <c r="F33" s="3" t="s">
        <v>136</v>
      </c>
      <c r="G33" s="3" t="s">
        <v>137</v>
      </c>
      <c r="H33" s="3" t="s">
        <v>138</v>
      </c>
      <c r="I33" s="3" t="s">
        <v>139</v>
      </c>
      <c r="J33" s="3" t="s">
        <v>140</v>
      </c>
      <c r="K33" s="3"/>
      <c r="L33" s="3" t="s">
        <v>51</v>
      </c>
      <c r="M33" s="3" t="s">
        <v>51</v>
      </c>
      <c r="N33" s="3" t="s">
        <v>51</v>
      </c>
      <c r="O33" s="3"/>
    </row>
    <row r="34" spans="1:15" ht="39" customHeight="1" x14ac:dyDescent="0.2">
      <c r="A34" s="8" t="s">
        <v>42</v>
      </c>
      <c r="B34" s="8" t="s">
        <v>126</v>
      </c>
      <c r="C34" s="8" t="s">
        <v>141</v>
      </c>
      <c r="D34" s="8" t="s">
        <v>142</v>
      </c>
      <c r="E34" s="9" t="s">
        <v>45</v>
      </c>
      <c r="F34" s="8" t="s">
        <v>143</v>
      </c>
      <c r="G34" s="8" t="s">
        <v>144</v>
      </c>
      <c r="H34" s="8" t="s">
        <v>145</v>
      </c>
      <c r="I34" s="8" t="s">
        <v>146</v>
      </c>
      <c r="J34" s="8" t="s">
        <v>147</v>
      </c>
      <c r="K34" s="8"/>
      <c r="L34" s="8" t="s">
        <v>51</v>
      </c>
      <c r="M34" s="8" t="s">
        <v>51</v>
      </c>
      <c r="N34" s="8" t="s">
        <v>51</v>
      </c>
      <c r="O34" s="8"/>
    </row>
    <row r="35" spans="1:15" ht="43" customHeight="1" x14ac:dyDescent="0.2">
      <c r="A35" s="3" t="s">
        <v>42</v>
      </c>
      <c r="B35" s="3" t="s">
        <v>126</v>
      </c>
      <c r="C35" s="3" t="s">
        <v>148</v>
      </c>
      <c r="D35" s="3" t="s">
        <v>149</v>
      </c>
      <c r="E35" s="7" t="s">
        <v>45</v>
      </c>
      <c r="F35" s="3" t="s">
        <v>150</v>
      </c>
      <c r="G35" s="3" t="s">
        <v>151</v>
      </c>
      <c r="H35" s="3" t="s">
        <v>152</v>
      </c>
      <c r="I35" s="3" t="s">
        <v>153</v>
      </c>
      <c r="J35" s="3" t="s">
        <v>154</v>
      </c>
      <c r="K35" s="3"/>
      <c r="L35" s="3" t="s">
        <v>51</v>
      </c>
      <c r="M35" s="3" t="s">
        <v>51</v>
      </c>
      <c r="N35" s="3" t="s">
        <v>51</v>
      </c>
      <c r="O35" s="3"/>
    </row>
    <row r="36" spans="1:15" ht="40" customHeight="1" x14ac:dyDescent="0.2">
      <c r="A36" s="8" t="s">
        <v>42</v>
      </c>
      <c r="B36" s="8" t="s">
        <v>126</v>
      </c>
      <c r="C36" s="8" t="s">
        <v>155</v>
      </c>
      <c r="D36" s="8" t="s">
        <v>156</v>
      </c>
      <c r="E36" s="9" t="s">
        <v>45</v>
      </c>
      <c r="F36" s="8" t="s">
        <v>157</v>
      </c>
      <c r="G36" s="8" t="s">
        <v>158</v>
      </c>
      <c r="H36" s="8" t="s">
        <v>159</v>
      </c>
      <c r="I36" s="8" t="s">
        <v>160</v>
      </c>
      <c r="J36" s="8" t="s">
        <v>161</v>
      </c>
      <c r="K36" s="8"/>
      <c r="L36" s="8" t="s">
        <v>51</v>
      </c>
      <c r="M36" s="8" t="s">
        <v>51</v>
      </c>
      <c r="N36" s="8" t="s">
        <v>51</v>
      </c>
      <c r="O36" s="8"/>
    </row>
    <row r="37" spans="1:15" ht="30" customHeight="1" x14ac:dyDescent="0.2">
      <c r="A37" s="3" t="s">
        <v>42</v>
      </c>
      <c r="B37" s="3" t="s">
        <v>126</v>
      </c>
      <c r="C37" s="3" t="s">
        <v>162</v>
      </c>
      <c r="D37" s="3" t="s">
        <v>163</v>
      </c>
      <c r="E37" s="7" t="s">
        <v>45</v>
      </c>
      <c r="F37" s="3" t="s">
        <v>164</v>
      </c>
      <c r="G37" s="3" t="s">
        <v>165</v>
      </c>
      <c r="H37" s="3" t="s">
        <v>166</v>
      </c>
      <c r="I37" s="3" t="s">
        <v>167</v>
      </c>
      <c r="J37" s="3" t="s">
        <v>168</v>
      </c>
      <c r="K37" s="3"/>
      <c r="L37" s="3" t="s">
        <v>51</v>
      </c>
      <c r="M37" s="3" t="s">
        <v>51</v>
      </c>
      <c r="N37" s="3" t="s">
        <v>51</v>
      </c>
      <c r="O37" s="3"/>
    </row>
    <row r="38" spans="1:15" ht="30" customHeight="1" x14ac:dyDescent="0.2">
      <c r="A38" s="8" t="s">
        <v>42</v>
      </c>
      <c r="B38" s="8" t="s">
        <v>126</v>
      </c>
      <c r="C38" s="8" t="s">
        <v>169</v>
      </c>
      <c r="D38" s="8" t="s">
        <v>170</v>
      </c>
      <c r="E38" s="9" t="s">
        <v>45</v>
      </c>
      <c r="F38" s="8" t="s">
        <v>171</v>
      </c>
      <c r="G38" s="8" t="s">
        <v>172</v>
      </c>
      <c r="H38" s="8" t="s">
        <v>173</v>
      </c>
      <c r="I38" s="8" t="s">
        <v>174</v>
      </c>
      <c r="J38" s="8" t="s">
        <v>175</v>
      </c>
      <c r="K38" s="8"/>
      <c r="L38" s="8" t="s">
        <v>51</v>
      </c>
      <c r="M38" s="8" t="s">
        <v>51</v>
      </c>
      <c r="N38" s="8" t="s">
        <v>51</v>
      </c>
      <c r="O38" s="8"/>
    </row>
    <row r="39" spans="1:15" ht="47" customHeight="1" x14ac:dyDescent="0.2">
      <c r="A39" s="3" t="s">
        <v>42</v>
      </c>
      <c r="B39" s="3" t="s">
        <v>126</v>
      </c>
      <c r="C39" s="3" t="s">
        <v>176</v>
      </c>
      <c r="D39" s="3" t="s">
        <v>177</v>
      </c>
      <c r="E39" s="7" t="s">
        <v>75</v>
      </c>
      <c r="F39" s="3" t="s">
        <v>178</v>
      </c>
      <c r="G39" s="3" t="s">
        <v>179</v>
      </c>
      <c r="H39" s="3" t="s">
        <v>103</v>
      </c>
      <c r="I39" s="3" t="s">
        <v>180</v>
      </c>
      <c r="J39" s="3" t="s">
        <v>181</v>
      </c>
      <c r="K39" s="3"/>
      <c r="L39" s="3" t="s">
        <v>51</v>
      </c>
      <c r="M39" s="3" t="s">
        <v>51</v>
      </c>
      <c r="N39" s="3" t="s">
        <v>51</v>
      </c>
      <c r="O39" s="3"/>
    </row>
    <row r="40" spans="1:15" ht="30" customHeight="1" x14ac:dyDescent="0.2">
      <c r="A40" s="8" t="s">
        <v>42</v>
      </c>
      <c r="B40" s="8" t="s">
        <v>126</v>
      </c>
      <c r="C40" s="8" t="s">
        <v>182</v>
      </c>
      <c r="D40" s="8" t="s">
        <v>183</v>
      </c>
      <c r="E40" s="9" t="s">
        <v>113</v>
      </c>
      <c r="F40" s="8" t="s">
        <v>114</v>
      </c>
      <c r="G40" s="8" t="s">
        <v>184</v>
      </c>
      <c r="H40" s="8" t="s">
        <v>103</v>
      </c>
      <c r="I40" s="8" t="s">
        <v>185</v>
      </c>
      <c r="J40" s="8" t="s">
        <v>186</v>
      </c>
      <c r="K40" s="8"/>
      <c r="L40" s="8" t="s">
        <v>51</v>
      </c>
      <c r="M40" s="8" t="s">
        <v>51</v>
      </c>
      <c r="N40" s="8" t="s">
        <v>51</v>
      </c>
      <c r="O40" s="8"/>
    </row>
    <row r="41" spans="1:15" ht="30" customHeight="1" x14ac:dyDescent="0.2">
      <c r="A41" s="3" t="s">
        <v>42</v>
      </c>
      <c r="B41" s="3" t="s">
        <v>126</v>
      </c>
      <c r="C41" s="3" t="s">
        <v>187</v>
      </c>
      <c r="D41" s="3" t="s">
        <v>188</v>
      </c>
      <c r="E41" s="7" t="s">
        <v>113</v>
      </c>
      <c r="F41" s="3" t="s">
        <v>114</v>
      </c>
      <c r="G41" s="3" t="s">
        <v>184</v>
      </c>
      <c r="H41" s="3" t="s">
        <v>103</v>
      </c>
      <c r="I41" s="3" t="s">
        <v>189</v>
      </c>
      <c r="J41" s="3" t="s">
        <v>190</v>
      </c>
      <c r="K41" s="3"/>
      <c r="L41" s="3" t="s">
        <v>51</v>
      </c>
      <c r="M41" s="3" t="s">
        <v>51</v>
      </c>
      <c r="N41" s="3" t="s">
        <v>51</v>
      </c>
      <c r="O41" s="3"/>
    </row>
    <row r="42" spans="1:15" ht="30" customHeight="1" x14ac:dyDescent="0.2">
      <c r="A42" s="8" t="s">
        <v>42</v>
      </c>
      <c r="B42" s="8" t="s">
        <v>126</v>
      </c>
      <c r="C42" s="8" t="s">
        <v>191</v>
      </c>
      <c r="D42" s="8" t="s">
        <v>192</v>
      </c>
      <c r="E42" s="9" t="s">
        <v>113</v>
      </c>
      <c r="F42" s="8" t="s">
        <v>114</v>
      </c>
      <c r="G42" s="8" t="s">
        <v>193</v>
      </c>
      <c r="H42" s="8" t="s">
        <v>103</v>
      </c>
      <c r="I42" s="8" t="s">
        <v>194</v>
      </c>
      <c r="J42" s="8" t="s">
        <v>103</v>
      </c>
      <c r="K42" s="8"/>
      <c r="L42" s="8" t="s">
        <v>51</v>
      </c>
      <c r="M42" s="8" t="s">
        <v>51</v>
      </c>
      <c r="N42" s="8" t="s">
        <v>51</v>
      </c>
      <c r="O42" s="8"/>
    </row>
    <row r="43" spans="1:15" ht="40" customHeight="1" x14ac:dyDescent="0.2">
      <c r="A43" s="3" t="s">
        <v>42</v>
      </c>
      <c r="B43" s="3" t="s">
        <v>126</v>
      </c>
      <c r="C43" s="3" t="s">
        <v>195</v>
      </c>
      <c r="D43" s="3" t="s">
        <v>196</v>
      </c>
      <c r="E43" s="7" t="s">
        <v>75</v>
      </c>
      <c r="F43" s="3" t="s">
        <v>197</v>
      </c>
      <c r="G43" s="3" t="s">
        <v>198</v>
      </c>
      <c r="H43" s="3" t="s">
        <v>199</v>
      </c>
      <c r="I43" s="3" t="s">
        <v>200</v>
      </c>
      <c r="J43" s="3" t="s">
        <v>201</v>
      </c>
      <c r="K43" s="3"/>
      <c r="L43" s="3" t="s">
        <v>51</v>
      </c>
      <c r="M43" s="3" t="s">
        <v>51</v>
      </c>
      <c r="N43" s="3" t="s">
        <v>51</v>
      </c>
      <c r="O43" s="3"/>
    </row>
    <row r="44" spans="1:15" ht="26" customHeight="1" x14ac:dyDescent="0.2">
      <c r="A44" s="6"/>
      <c r="B44" s="6"/>
      <c r="C44" s="13" t="s">
        <v>202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2"/>
    </row>
    <row r="45" spans="1:15" ht="30" customHeight="1" x14ac:dyDescent="0.2">
      <c r="A45" s="8" t="s">
        <v>42</v>
      </c>
      <c r="B45" s="8" t="s">
        <v>203</v>
      </c>
      <c r="C45" s="8" t="s">
        <v>204</v>
      </c>
      <c r="D45" s="8" t="s">
        <v>205</v>
      </c>
      <c r="E45" s="9" t="s">
        <v>45</v>
      </c>
      <c r="F45" s="8" t="s">
        <v>206</v>
      </c>
      <c r="G45" s="8" t="s">
        <v>207</v>
      </c>
      <c r="H45" s="8" t="s">
        <v>208</v>
      </c>
      <c r="I45" s="8" t="s">
        <v>209</v>
      </c>
      <c r="J45" s="8" t="s">
        <v>210</v>
      </c>
      <c r="K45" s="8"/>
      <c r="L45" s="8" t="s">
        <v>51</v>
      </c>
      <c r="M45" s="8" t="s">
        <v>51</v>
      </c>
      <c r="N45" s="8" t="s">
        <v>51</v>
      </c>
      <c r="O45" s="8"/>
    </row>
    <row r="46" spans="1:15" ht="30" customHeight="1" x14ac:dyDescent="0.2">
      <c r="A46" s="3" t="s">
        <v>42</v>
      </c>
      <c r="B46" s="3" t="s">
        <v>203</v>
      </c>
      <c r="C46" s="3" t="s">
        <v>211</v>
      </c>
      <c r="D46" s="3" t="s">
        <v>212</v>
      </c>
      <c r="E46" s="7" t="s">
        <v>75</v>
      </c>
      <c r="F46" s="3" t="s">
        <v>213</v>
      </c>
      <c r="G46" s="3" t="s">
        <v>214</v>
      </c>
      <c r="H46" s="3" t="s">
        <v>215</v>
      </c>
      <c r="I46" s="3" t="s">
        <v>216</v>
      </c>
      <c r="J46" s="3" t="s">
        <v>217</v>
      </c>
      <c r="K46" s="3"/>
      <c r="L46" s="3" t="s">
        <v>51</v>
      </c>
      <c r="M46" s="3" t="s">
        <v>51</v>
      </c>
      <c r="N46" s="3" t="s">
        <v>51</v>
      </c>
      <c r="O46" s="3"/>
    </row>
    <row r="47" spans="1:15" ht="26" customHeight="1" x14ac:dyDescent="0.2">
      <c r="A47" s="6"/>
      <c r="B47" s="6"/>
      <c r="C47" s="13" t="s">
        <v>218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2"/>
    </row>
    <row r="48" spans="1:15" ht="30" customHeight="1" x14ac:dyDescent="0.2">
      <c r="A48" s="8" t="s">
        <v>42</v>
      </c>
      <c r="B48" s="8" t="s">
        <v>219</v>
      </c>
      <c r="C48" s="8" t="s">
        <v>220</v>
      </c>
      <c r="D48" s="8" t="s">
        <v>221</v>
      </c>
      <c r="E48" s="9" t="s">
        <v>45</v>
      </c>
      <c r="F48" s="8" t="s">
        <v>222</v>
      </c>
      <c r="G48" s="8" t="s">
        <v>223</v>
      </c>
      <c r="H48" s="8" t="s">
        <v>224</v>
      </c>
      <c r="I48" s="8" t="s">
        <v>225</v>
      </c>
      <c r="J48" s="8" t="s">
        <v>226</v>
      </c>
      <c r="K48" s="8"/>
      <c r="L48" s="8" t="s">
        <v>51</v>
      </c>
      <c r="M48" s="8" t="s">
        <v>51</v>
      </c>
      <c r="N48" s="8" t="s">
        <v>51</v>
      </c>
      <c r="O48" s="8"/>
    </row>
    <row r="49" spans="1:15" ht="30" customHeight="1" x14ac:dyDescent="0.2">
      <c r="A49" s="3" t="s">
        <v>42</v>
      </c>
      <c r="B49" s="3" t="s">
        <v>219</v>
      </c>
      <c r="C49" s="3" t="s">
        <v>227</v>
      </c>
      <c r="D49" s="3" t="s">
        <v>228</v>
      </c>
      <c r="E49" s="7" t="s">
        <v>113</v>
      </c>
      <c r="F49" s="3" t="s">
        <v>229</v>
      </c>
      <c r="G49" s="3" t="s">
        <v>230</v>
      </c>
      <c r="H49" s="3" t="s">
        <v>103</v>
      </c>
      <c r="I49" s="3" t="s">
        <v>231</v>
      </c>
      <c r="J49" s="3" t="s">
        <v>103</v>
      </c>
      <c r="K49" s="3"/>
      <c r="L49" s="3" t="s">
        <v>51</v>
      </c>
      <c r="M49" s="3" t="s">
        <v>51</v>
      </c>
      <c r="N49" s="3" t="s">
        <v>51</v>
      </c>
      <c r="O49" s="3"/>
    </row>
    <row r="50" spans="1:15" ht="55" customHeight="1" x14ac:dyDescent="0.2">
      <c r="A50" s="8" t="s">
        <v>42</v>
      </c>
      <c r="B50" s="8" t="s">
        <v>219</v>
      </c>
      <c r="C50" s="8" t="s">
        <v>232</v>
      </c>
      <c r="D50" s="8" t="s">
        <v>233</v>
      </c>
      <c r="E50" s="9" t="s">
        <v>45</v>
      </c>
      <c r="F50" s="8" t="s">
        <v>234</v>
      </c>
      <c r="G50" s="8" t="s">
        <v>235</v>
      </c>
      <c r="H50" s="8" t="s">
        <v>103</v>
      </c>
      <c r="I50" s="8" t="s">
        <v>236</v>
      </c>
      <c r="J50" s="8" t="s">
        <v>237</v>
      </c>
      <c r="K50" s="8"/>
      <c r="L50" s="8" t="s">
        <v>51</v>
      </c>
      <c r="M50" s="8" t="s">
        <v>51</v>
      </c>
      <c r="N50" s="8" t="s">
        <v>51</v>
      </c>
      <c r="O50" s="8"/>
    </row>
    <row r="51" spans="1:15" ht="34" customHeight="1" x14ac:dyDescent="0.2">
      <c r="A51" s="3" t="s">
        <v>42</v>
      </c>
      <c r="B51" s="3" t="s">
        <v>219</v>
      </c>
      <c r="C51" s="3" t="s">
        <v>238</v>
      </c>
      <c r="D51" s="3" t="s">
        <v>239</v>
      </c>
      <c r="E51" s="7" t="s">
        <v>75</v>
      </c>
      <c r="F51" s="3" t="s">
        <v>240</v>
      </c>
      <c r="G51" s="3" t="s">
        <v>241</v>
      </c>
      <c r="H51" s="3" t="s">
        <v>103</v>
      </c>
      <c r="I51" s="3" t="s">
        <v>242</v>
      </c>
      <c r="J51" s="3" t="s">
        <v>243</v>
      </c>
      <c r="K51" s="3"/>
      <c r="L51" s="3" t="s">
        <v>51</v>
      </c>
      <c r="M51" s="3" t="s">
        <v>51</v>
      </c>
      <c r="N51" s="3" t="s">
        <v>51</v>
      </c>
      <c r="O51" s="3"/>
    </row>
    <row r="52" spans="1:15" ht="36" customHeight="1" x14ac:dyDescent="0.2">
      <c r="A52" s="8" t="s">
        <v>42</v>
      </c>
      <c r="B52" s="8" t="s">
        <v>219</v>
      </c>
      <c r="C52" s="8" t="s">
        <v>244</v>
      </c>
      <c r="D52" s="8" t="s">
        <v>245</v>
      </c>
      <c r="E52" s="9" t="s">
        <v>75</v>
      </c>
      <c r="F52" s="8" t="s">
        <v>246</v>
      </c>
      <c r="G52" s="8" t="s">
        <v>247</v>
      </c>
      <c r="H52" s="8" t="s">
        <v>248</v>
      </c>
      <c r="I52" s="8" t="s">
        <v>249</v>
      </c>
      <c r="J52" s="8" t="s">
        <v>250</v>
      </c>
      <c r="K52" s="8"/>
      <c r="L52" s="8" t="s">
        <v>51</v>
      </c>
      <c r="M52" s="8" t="s">
        <v>51</v>
      </c>
      <c r="N52" s="8" t="s">
        <v>51</v>
      </c>
      <c r="O52" s="8"/>
    </row>
    <row r="53" spans="1:15" ht="30" customHeight="1" x14ac:dyDescent="0.2">
      <c r="A53" s="3" t="s">
        <v>42</v>
      </c>
      <c r="B53" s="3" t="s">
        <v>219</v>
      </c>
      <c r="C53" s="3" t="s">
        <v>251</v>
      </c>
      <c r="D53" s="3" t="s">
        <v>252</v>
      </c>
      <c r="E53" s="7" t="s">
        <v>45</v>
      </c>
      <c r="F53" s="3" t="s">
        <v>253</v>
      </c>
      <c r="G53" s="3" t="s">
        <v>254</v>
      </c>
      <c r="H53" s="3" t="s">
        <v>103</v>
      </c>
      <c r="I53" s="3" t="s">
        <v>255</v>
      </c>
      <c r="J53" s="3" t="s">
        <v>256</v>
      </c>
      <c r="K53" s="3"/>
      <c r="L53" s="3" t="s">
        <v>51</v>
      </c>
      <c r="M53" s="3" t="s">
        <v>51</v>
      </c>
      <c r="N53" s="3" t="s">
        <v>51</v>
      </c>
      <c r="O53" s="3"/>
    </row>
    <row r="54" spans="1:15" ht="30" customHeight="1" x14ac:dyDescent="0.2">
      <c r="A54" s="8" t="s">
        <v>42</v>
      </c>
      <c r="B54" s="8" t="s">
        <v>219</v>
      </c>
      <c r="C54" s="8" t="s">
        <v>257</v>
      </c>
      <c r="D54" s="8" t="s">
        <v>258</v>
      </c>
      <c r="E54" s="9" t="s">
        <v>45</v>
      </c>
      <c r="F54" s="8" t="s">
        <v>259</v>
      </c>
      <c r="G54" s="8" t="s">
        <v>260</v>
      </c>
      <c r="H54" s="8" t="s">
        <v>103</v>
      </c>
      <c r="I54" s="8" t="s">
        <v>261</v>
      </c>
      <c r="J54" s="8" t="s">
        <v>262</v>
      </c>
      <c r="K54" s="8"/>
      <c r="L54" s="8" t="s">
        <v>51</v>
      </c>
      <c r="M54" s="8" t="s">
        <v>51</v>
      </c>
      <c r="N54" s="8" t="s">
        <v>51</v>
      </c>
      <c r="O54" s="8"/>
    </row>
    <row r="55" spans="1:15" ht="34" customHeight="1" x14ac:dyDescent="0.2">
      <c r="A55" s="3" t="s">
        <v>42</v>
      </c>
      <c r="B55" s="3" t="s">
        <v>219</v>
      </c>
      <c r="C55" s="3" t="s">
        <v>263</v>
      </c>
      <c r="D55" s="3" t="s">
        <v>264</v>
      </c>
      <c r="E55" s="7" t="s">
        <v>75</v>
      </c>
      <c r="F55" s="3" t="s">
        <v>265</v>
      </c>
      <c r="G55" s="3" t="s">
        <v>266</v>
      </c>
      <c r="H55" s="3" t="s">
        <v>103</v>
      </c>
      <c r="I55" s="3" t="s">
        <v>267</v>
      </c>
      <c r="J55" s="3" t="s">
        <v>268</v>
      </c>
      <c r="K55" s="3"/>
      <c r="L55" s="3" t="s">
        <v>51</v>
      </c>
      <c r="M55" s="3" t="s">
        <v>51</v>
      </c>
      <c r="N55" s="3" t="s">
        <v>51</v>
      </c>
      <c r="O55" s="3"/>
    </row>
    <row r="56" spans="1:15" ht="30" customHeight="1" x14ac:dyDescent="0.2">
      <c r="A56" s="8" t="s">
        <v>42</v>
      </c>
      <c r="B56" s="8" t="s">
        <v>219</v>
      </c>
      <c r="C56" s="8" t="s">
        <v>269</v>
      </c>
      <c r="D56" s="8" t="s">
        <v>270</v>
      </c>
      <c r="E56" s="9" t="s">
        <v>45</v>
      </c>
      <c r="F56" s="8" t="s">
        <v>271</v>
      </c>
      <c r="G56" s="8" t="s">
        <v>272</v>
      </c>
      <c r="H56" s="8" t="s">
        <v>103</v>
      </c>
      <c r="I56" s="8" t="s">
        <v>273</v>
      </c>
      <c r="J56" s="8" t="s">
        <v>274</v>
      </c>
      <c r="K56" s="8"/>
      <c r="L56" s="8" t="s">
        <v>51</v>
      </c>
      <c r="M56" s="8" t="s">
        <v>51</v>
      </c>
      <c r="N56" s="8" t="s">
        <v>51</v>
      </c>
      <c r="O56" s="8"/>
    </row>
    <row r="57" spans="1:15" ht="30" customHeight="1" x14ac:dyDescent="0.2">
      <c r="A57" s="3" t="s">
        <v>42</v>
      </c>
      <c r="B57" s="3" t="s">
        <v>219</v>
      </c>
      <c r="C57" s="3" t="s">
        <v>275</v>
      </c>
      <c r="D57" s="3" t="s">
        <v>276</v>
      </c>
      <c r="E57" s="7" t="s">
        <v>75</v>
      </c>
      <c r="F57" s="3" t="s">
        <v>277</v>
      </c>
      <c r="G57" s="3" t="s">
        <v>278</v>
      </c>
      <c r="H57" s="3" t="s">
        <v>279</v>
      </c>
      <c r="I57" s="3" t="s">
        <v>280</v>
      </c>
      <c r="J57" s="3" t="s">
        <v>281</v>
      </c>
      <c r="K57" s="3"/>
      <c r="L57" s="3" t="s">
        <v>51</v>
      </c>
      <c r="M57" s="3" t="s">
        <v>51</v>
      </c>
      <c r="N57" s="3" t="s">
        <v>51</v>
      </c>
      <c r="O57" s="3"/>
    </row>
    <row r="58" spans="1:15" ht="30" customHeight="1" x14ac:dyDescent="0.2">
      <c r="A58" s="8" t="s">
        <v>42</v>
      </c>
      <c r="B58" s="8" t="s">
        <v>219</v>
      </c>
      <c r="C58" s="8" t="s">
        <v>282</v>
      </c>
      <c r="D58" s="8" t="s">
        <v>283</v>
      </c>
      <c r="E58" s="9" t="s">
        <v>113</v>
      </c>
      <c r="F58" s="8" t="s">
        <v>284</v>
      </c>
      <c r="G58" s="8" t="s">
        <v>285</v>
      </c>
      <c r="H58" s="8" t="s">
        <v>286</v>
      </c>
      <c r="I58" s="8" t="s">
        <v>287</v>
      </c>
      <c r="J58" s="8" t="s">
        <v>103</v>
      </c>
      <c r="K58" s="8"/>
      <c r="L58" s="8" t="s">
        <v>51</v>
      </c>
      <c r="M58" s="8" t="s">
        <v>51</v>
      </c>
      <c r="N58" s="8" t="s">
        <v>51</v>
      </c>
      <c r="O58" s="8"/>
    </row>
    <row r="59" spans="1:15" ht="30" customHeight="1" x14ac:dyDescent="0.2">
      <c r="A59" s="3" t="s">
        <v>42</v>
      </c>
      <c r="B59" s="3" t="s">
        <v>219</v>
      </c>
      <c r="C59" s="3" t="s">
        <v>288</v>
      </c>
      <c r="D59" s="3" t="s">
        <v>289</v>
      </c>
      <c r="E59" s="7" t="s">
        <v>75</v>
      </c>
      <c r="F59" s="3" t="s">
        <v>290</v>
      </c>
      <c r="G59" s="3" t="s">
        <v>291</v>
      </c>
      <c r="H59" s="3" t="s">
        <v>103</v>
      </c>
      <c r="I59" s="3" t="s">
        <v>292</v>
      </c>
      <c r="J59" s="3" t="s">
        <v>293</v>
      </c>
      <c r="K59" s="3"/>
      <c r="L59" s="3" t="s">
        <v>51</v>
      </c>
      <c r="M59" s="3" t="s">
        <v>51</v>
      </c>
      <c r="N59" s="3" t="s">
        <v>51</v>
      </c>
      <c r="O59" s="3"/>
    </row>
    <row r="60" spans="1:15" ht="33" customHeight="1" x14ac:dyDescent="0.2">
      <c r="A60" s="8" t="s">
        <v>42</v>
      </c>
      <c r="B60" s="8" t="s">
        <v>219</v>
      </c>
      <c r="C60" s="8" t="s">
        <v>294</v>
      </c>
      <c r="D60" s="8" t="s">
        <v>295</v>
      </c>
      <c r="E60" s="9" t="s">
        <v>113</v>
      </c>
      <c r="F60" s="8" t="s">
        <v>296</v>
      </c>
      <c r="G60" s="8" t="s">
        <v>297</v>
      </c>
      <c r="H60" s="8" t="s">
        <v>103</v>
      </c>
      <c r="I60" s="8" t="s">
        <v>298</v>
      </c>
      <c r="J60" s="8" t="s">
        <v>299</v>
      </c>
      <c r="K60" s="8"/>
      <c r="L60" s="8" t="s">
        <v>51</v>
      </c>
      <c r="M60" s="8" t="s">
        <v>51</v>
      </c>
      <c r="N60" s="8" t="s">
        <v>51</v>
      </c>
      <c r="O60" s="8"/>
    </row>
    <row r="61" spans="1:15" ht="26" customHeight="1" x14ac:dyDescent="0.2">
      <c r="A61" s="6"/>
      <c r="B61" s="6"/>
      <c r="C61" s="13" t="s">
        <v>300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2"/>
    </row>
    <row r="62" spans="1:15" ht="56" customHeight="1" x14ac:dyDescent="0.2">
      <c r="A62" s="3" t="s">
        <v>42</v>
      </c>
      <c r="B62" s="3" t="s">
        <v>301</v>
      </c>
      <c r="C62" s="3" t="s">
        <v>302</v>
      </c>
      <c r="D62" s="3" t="s">
        <v>303</v>
      </c>
      <c r="E62" s="7" t="s">
        <v>45</v>
      </c>
      <c r="F62" s="3" t="s">
        <v>304</v>
      </c>
      <c r="G62" s="3" t="s">
        <v>305</v>
      </c>
      <c r="H62" s="3" t="s">
        <v>306</v>
      </c>
      <c r="I62" s="3" t="s">
        <v>307</v>
      </c>
      <c r="J62" s="3" t="s">
        <v>308</v>
      </c>
      <c r="K62" s="3"/>
      <c r="L62" s="3" t="s">
        <v>51</v>
      </c>
      <c r="M62" s="3" t="s">
        <v>51</v>
      </c>
      <c r="N62" s="3" t="s">
        <v>51</v>
      </c>
      <c r="O62" s="3"/>
    </row>
    <row r="63" spans="1:15" ht="42" customHeight="1" x14ac:dyDescent="0.2">
      <c r="A63" s="8" t="s">
        <v>42</v>
      </c>
      <c r="B63" s="8" t="s">
        <v>301</v>
      </c>
      <c r="C63" s="8" t="s">
        <v>309</v>
      </c>
      <c r="D63" s="8" t="s">
        <v>310</v>
      </c>
      <c r="E63" s="9" t="s">
        <v>75</v>
      </c>
      <c r="F63" s="8" t="s">
        <v>311</v>
      </c>
      <c r="G63" s="8" t="s">
        <v>312</v>
      </c>
      <c r="H63" s="8" t="s">
        <v>103</v>
      </c>
      <c r="I63" s="8" t="s">
        <v>313</v>
      </c>
      <c r="J63" s="8" t="s">
        <v>314</v>
      </c>
      <c r="K63" s="8"/>
      <c r="L63" s="8" t="s">
        <v>51</v>
      </c>
      <c r="M63" s="8" t="s">
        <v>51</v>
      </c>
      <c r="N63" s="8" t="s">
        <v>51</v>
      </c>
      <c r="O63" s="8"/>
    </row>
    <row r="64" spans="1:15" ht="30" customHeight="1" x14ac:dyDescent="0.2">
      <c r="A64" s="3" t="s">
        <v>42</v>
      </c>
      <c r="B64" s="3" t="s">
        <v>301</v>
      </c>
      <c r="C64" s="3" t="s">
        <v>315</v>
      </c>
      <c r="D64" s="3" t="s">
        <v>316</v>
      </c>
      <c r="E64" s="7" t="s">
        <v>113</v>
      </c>
      <c r="F64" s="3" t="s">
        <v>317</v>
      </c>
      <c r="G64" s="3" t="s">
        <v>318</v>
      </c>
      <c r="H64" s="3" t="s">
        <v>319</v>
      </c>
      <c r="I64" s="3" t="s">
        <v>320</v>
      </c>
      <c r="J64" s="3" t="s">
        <v>103</v>
      </c>
      <c r="K64" s="3"/>
      <c r="L64" s="3" t="s">
        <v>51</v>
      </c>
      <c r="M64" s="3" t="s">
        <v>51</v>
      </c>
      <c r="N64" s="3" t="s">
        <v>51</v>
      </c>
      <c r="O64" s="3"/>
    </row>
    <row r="65" spans="1:15" ht="30" customHeight="1" x14ac:dyDescent="0.2">
      <c r="A65" s="8" t="s">
        <v>42</v>
      </c>
      <c r="B65" s="8" t="s">
        <v>301</v>
      </c>
      <c r="C65" s="8" t="s">
        <v>321</v>
      </c>
      <c r="D65" s="8" t="s">
        <v>322</v>
      </c>
      <c r="E65" s="9" t="s">
        <v>113</v>
      </c>
      <c r="F65" s="8" t="s">
        <v>323</v>
      </c>
      <c r="G65" s="8" t="s">
        <v>324</v>
      </c>
      <c r="H65" s="8" t="s">
        <v>103</v>
      </c>
      <c r="I65" s="8" t="s">
        <v>325</v>
      </c>
      <c r="J65" s="8" t="s">
        <v>103</v>
      </c>
      <c r="K65" s="8"/>
      <c r="L65" s="8" t="s">
        <v>51</v>
      </c>
      <c r="M65" s="8" t="s">
        <v>51</v>
      </c>
      <c r="N65" s="8" t="s">
        <v>51</v>
      </c>
      <c r="O65" s="8"/>
    </row>
    <row r="66" spans="1:15" ht="26" customHeight="1" x14ac:dyDescent="0.2">
      <c r="A66" s="6"/>
      <c r="B66" s="6"/>
      <c r="C66" s="13" t="s">
        <v>326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2"/>
    </row>
    <row r="67" spans="1:15" ht="34" customHeight="1" x14ac:dyDescent="0.2">
      <c r="A67" s="3" t="s">
        <v>42</v>
      </c>
      <c r="B67" s="3" t="s">
        <v>327</v>
      </c>
      <c r="C67" s="3" t="s">
        <v>328</v>
      </c>
      <c r="D67" s="3" t="s">
        <v>329</v>
      </c>
      <c r="E67" s="7" t="s">
        <v>75</v>
      </c>
      <c r="F67" s="3" t="s">
        <v>330</v>
      </c>
      <c r="G67" s="3" t="s">
        <v>331</v>
      </c>
      <c r="H67" s="3" t="s">
        <v>332</v>
      </c>
      <c r="I67" s="3" t="s">
        <v>333</v>
      </c>
      <c r="J67" s="3" t="s">
        <v>103</v>
      </c>
      <c r="K67" s="3"/>
      <c r="L67" s="3" t="s">
        <v>51</v>
      </c>
      <c r="M67" s="3" t="s">
        <v>51</v>
      </c>
      <c r="N67" s="3" t="s">
        <v>51</v>
      </c>
      <c r="O67" s="3"/>
    </row>
    <row r="68" spans="1:15" ht="54" customHeight="1" x14ac:dyDescent="0.2">
      <c r="A68" s="8" t="s">
        <v>42</v>
      </c>
      <c r="B68" s="8" t="s">
        <v>327</v>
      </c>
      <c r="C68" s="8" t="s">
        <v>334</v>
      </c>
      <c r="D68" s="8" t="s">
        <v>335</v>
      </c>
      <c r="E68" s="9" t="s">
        <v>45</v>
      </c>
      <c r="F68" s="8" t="s">
        <v>336</v>
      </c>
      <c r="G68" s="8" t="s">
        <v>337</v>
      </c>
      <c r="H68" s="8" t="s">
        <v>338</v>
      </c>
      <c r="I68" s="8" t="s">
        <v>339</v>
      </c>
      <c r="J68" s="8" t="s">
        <v>340</v>
      </c>
      <c r="K68" s="8"/>
      <c r="L68" s="8" t="s">
        <v>51</v>
      </c>
      <c r="M68" s="8" t="s">
        <v>51</v>
      </c>
      <c r="N68" s="8" t="s">
        <v>51</v>
      </c>
      <c r="O68" s="8"/>
    </row>
    <row r="69" spans="1:15" ht="41" customHeight="1" x14ac:dyDescent="0.2">
      <c r="A69" s="3" t="s">
        <v>42</v>
      </c>
      <c r="B69" s="3" t="s">
        <v>327</v>
      </c>
      <c r="C69" s="3" t="s">
        <v>341</v>
      </c>
      <c r="D69" s="3" t="s">
        <v>342</v>
      </c>
      <c r="E69" s="7" t="s">
        <v>113</v>
      </c>
      <c r="F69" s="3" t="s">
        <v>343</v>
      </c>
      <c r="G69" s="3" t="s">
        <v>344</v>
      </c>
      <c r="H69" s="3" t="s">
        <v>345</v>
      </c>
      <c r="I69" s="3" t="s">
        <v>346</v>
      </c>
      <c r="J69" s="3" t="s">
        <v>347</v>
      </c>
      <c r="K69" s="3"/>
      <c r="L69" s="3" t="s">
        <v>51</v>
      </c>
      <c r="M69" s="3" t="s">
        <v>51</v>
      </c>
      <c r="N69" s="3" t="s">
        <v>51</v>
      </c>
      <c r="O69" s="3"/>
    </row>
    <row r="70" spans="1:15" ht="30" customHeight="1" x14ac:dyDescent="0.2">
      <c r="A70" s="8" t="s">
        <v>42</v>
      </c>
      <c r="B70" s="8" t="s">
        <v>327</v>
      </c>
      <c r="C70" s="8" t="s">
        <v>348</v>
      </c>
      <c r="D70" s="8" t="s">
        <v>349</v>
      </c>
      <c r="E70" s="9" t="s">
        <v>113</v>
      </c>
      <c r="F70" s="8" t="s">
        <v>350</v>
      </c>
      <c r="G70" s="8" t="s">
        <v>351</v>
      </c>
      <c r="H70" s="8" t="s">
        <v>103</v>
      </c>
      <c r="I70" s="8" t="s">
        <v>352</v>
      </c>
      <c r="J70" s="8" t="s">
        <v>353</v>
      </c>
      <c r="K70" s="8"/>
      <c r="L70" s="8" t="s">
        <v>51</v>
      </c>
      <c r="M70" s="8" t="s">
        <v>51</v>
      </c>
      <c r="N70" s="8" t="s">
        <v>51</v>
      </c>
      <c r="O70" s="8"/>
    </row>
    <row r="71" spans="1:15" ht="30" customHeight="1" x14ac:dyDescent="0.2">
      <c r="A71" s="3" t="s">
        <v>42</v>
      </c>
      <c r="B71" s="3" t="s">
        <v>327</v>
      </c>
      <c r="C71" s="3" t="s">
        <v>354</v>
      </c>
      <c r="D71" s="3" t="s">
        <v>355</v>
      </c>
      <c r="E71" s="7" t="s">
        <v>75</v>
      </c>
      <c r="F71" s="3" t="s">
        <v>356</v>
      </c>
      <c r="G71" s="3" t="s">
        <v>357</v>
      </c>
      <c r="H71" s="3" t="s">
        <v>358</v>
      </c>
      <c r="I71" s="3" t="s">
        <v>359</v>
      </c>
      <c r="J71" s="3" t="s">
        <v>360</v>
      </c>
      <c r="K71" s="3"/>
      <c r="L71" s="3" t="s">
        <v>51</v>
      </c>
      <c r="M71" s="3" t="s">
        <v>51</v>
      </c>
      <c r="N71" s="3" t="s">
        <v>51</v>
      </c>
      <c r="O71" s="3"/>
    </row>
    <row r="72" spans="1:15" ht="26" customHeight="1" x14ac:dyDescent="0.2">
      <c r="A72" s="6"/>
      <c r="B72" s="6"/>
      <c r="C72" s="13" t="s">
        <v>361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2"/>
    </row>
    <row r="73" spans="1:15" ht="46" customHeight="1" x14ac:dyDescent="0.2">
      <c r="A73" s="8" t="s">
        <v>42</v>
      </c>
      <c r="B73" s="8" t="s">
        <v>362</v>
      </c>
      <c r="C73" s="8" t="s">
        <v>363</v>
      </c>
      <c r="D73" s="8" t="s">
        <v>364</v>
      </c>
      <c r="E73" s="9" t="s">
        <v>45</v>
      </c>
      <c r="F73" s="8" t="s">
        <v>365</v>
      </c>
      <c r="G73" s="8" t="s">
        <v>366</v>
      </c>
      <c r="H73" s="8" t="s">
        <v>367</v>
      </c>
      <c r="I73" s="8" t="s">
        <v>368</v>
      </c>
      <c r="J73" s="8" t="s">
        <v>369</v>
      </c>
      <c r="K73" s="8"/>
      <c r="L73" s="8" t="s">
        <v>51</v>
      </c>
      <c r="M73" s="8" t="s">
        <v>51</v>
      </c>
      <c r="N73" s="8" t="s">
        <v>51</v>
      </c>
      <c r="O73" s="8"/>
    </row>
    <row r="74" spans="1:15" ht="30" customHeight="1" x14ac:dyDescent="0.2">
      <c r="A74" s="3" t="s">
        <v>42</v>
      </c>
      <c r="B74" s="3" t="s">
        <v>362</v>
      </c>
      <c r="C74" s="3" t="s">
        <v>370</v>
      </c>
      <c r="D74" s="3" t="s">
        <v>371</v>
      </c>
      <c r="E74" s="7" t="s">
        <v>45</v>
      </c>
      <c r="F74" s="3" t="s">
        <v>372</v>
      </c>
      <c r="G74" s="3" t="s">
        <v>373</v>
      </c>
      <c r="H74" s="3" t="s">
        <v>374</v>
      </c>
      <c r="I74" s="3" t="s">
        <v>375</v>
      </c>
      <c r="J74" s="3" t="s">
        <v>376</v>
      </c>
      <c r="K74" s="3"/>
      <c r="L74" s="3" t="s">
        <v>51</v>
      </c>
      <c r="M74" s="3" t="s">
        <v>51</v>
      </c>
      <c r="N74" s="3" t="s">
        <v>51</v>
      </c>
      <c r="O74" s="3"/>
    </row>
    <row r="75" spans="1:15" ht="45" customHeight="1" x14ac:dyDescent="0.2">
      <c r="A75" s="8" t="s">
        <v>42</v>
      </c>
      <c r="B75" s="8" t="s">
        <v>362</v>
      </c>
      <c r="C75" s="8" t="s">
        <v>377</v>
      </c>
      <c r="D75" s="8" t="s">
        <v>378</v>
      </c>
      <c r="E75" s="9" t="s">
        <v>75</v>
      </c>
      <c r="F75" s="8" t="s">
        <v>379</v>
      </c>
      <c r="G75" s="8" t="s">
        <v>380</v>
      </c>
      <c r="H75" s="8" t="s">
        <v>152</v>
      </c>
      <c r="I75" s="8" t="s">
        <v>381</v>
      </c>
      <c r="J75" s="8" t="s">
        <v>382</v>
      </c>
      <c r="K75" s="8"/>
      <c r="L75" s="8" t="s">
        <v>51</v>
      </c>
      <c r="M75" s="8" t="s">
        <v>51</v>
      </c>
      <c r="N75" s="8" t="s">
        <v>51</v>
      </c>
      <c r="O75" s="8"/>
    </row>
    <row r="76" spans="1:15" ht="30" customHeight="1" x14ac:dyDescent="0.2">
      <c r="A76" s="3" t="s">
        <v>42</v>
      </c>
      <c r="B76" s="3" t="s">
        <v>362</v>
      </c>
      <c r="C76" s="3" t="s">
        <v>383</v>
      </c>
      <c r="D76" s="3" t="s">
        <v>384</v>
      </c>
      <c r="E76" s="7" t="s">
        <v>45</v>
      </c>
      <c r="F76" s="3" t="s">
        <v>385</v>
      </c>
      <c r="G76" s="3" t="s">
        <v>386</v>
      </c>
      <c r="H76" s="3" t="s">
        <v>387</v>
      </c>
      <c r="I76" s="3" t="s">
        <v>388</v>
      </c>
      <c r="J76" s="3" t="s">
        <v>389</v>
      </c>
      <c r="K76" s="3"/>
      <c r="L76" s="3" t="s">
        <v>51</v>
      </c>
      <c r="M76" s="3" t="s">
        <v>51</v>
      </c>
      <c r="N76" s="3" t="s">
        <v>51</v>
      </c>
      <c r="O76" s="3"/>
    </row>
    <row r="77" spans="1:15" ht="26" customHeight="1" x14ac:dyDescent="0.2">
      <c r="A77" s="6"/>
      <c r="B77" s="6"/>
      <c r="C77" s="13" t="s">
        <v>390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2"/>
    </row>
    <row r="78" spans="1:15" ht="51" customHeight="1" x14ac:dyDescent="0.2">
      <c r="A78" s="8" t="s">
        <v>42</v>
      </c>
      <c r="B78" s="8" t="s">
        <v>391</v>
      </c>
      <c r="C78" s="8" t="s">
        <v>392</v>
      </c>
      <c r="D78" s="8" t="s">
        <v>393</v>
      </c>
      <c r="E78" s="9" t="s">
        <v>45</v>
      </c>
      <c r="F78" s="8" t="s">
        <v>394</v>
      </c>
      <c r="G78" s="8" t="s">
        <v>395</v>
      </c>
      <c r="H78" s="8" t="s">
        <v>396</v>
      </c>
      <c r="I78" s="8" t="s">
        <v>397</v>
      </c>
      <c r="J78" s="8" t="s">
        <v>398</v>
      </c>
      <c r="K78" s="8"/>
      <c r="L78" s="8" t="s">
        <v>51</v>
      </c>
      <c r="M78" s="8" t="s">
        <v>51</v>
      </c>
      <c r="N78" s="8" t="s">
        <v>51</v>
      </c>
      <c r="O78" s="8"/>
    </row>
    <row r="79" spans="1:15" ht="31" customHeight="1" x14ac:dyDescent="0.2">
      <c r="A79" s="3" t="s">
        <v>42</v>
      </c>
      <c r="B79" s="3" t="s">
        <v>391</v>
      </c>
      <c r="C79" s="3" t="s">
        <v>399</v>
      </c>
      <c r="D79" s="3" t="s">
        <v>400</v>
      </c>
      <c r="E79" s="7" t="s">
        <v>45</v>
      </c>
      <c r="F79" s="3" t="s">
        <v>401</v>
      </c>
      <c r="G79" s="3" t="s">
        <v>402</v>
      </c>
      <c r="H79" s="3" t="s">
        <v>403</v>
      </c>
      <c r="I79" s="3" t="s">
        <v>404</v>
      </c>
      <c r="J79" s="3" t="s">
        <v>405</v>
      </c>
      <c r="K79" s="3"/>
      <c r="L79" s="3" t="s">
        <v>51</v>
      </c>
      <c r="M79" s="3" t="s">
        <v>51</v>
      </c>
      <c r="N79" s="3" t="s">
        <v>51</v>
      </c>
      <c r="O79" s="3"/>
    </row>
  </sheetData>
  <mergeCells count="31">
    <mergeCell ref="C77:O77"/>
    <mergeCell ref="B1:O1"/>
    <mergeCell ref="B8:O8"/>
    <mergeCell ref="L13:O13"/>
    <mergeCell ref="I13:K13"/>
    <mergeCell ref="B10:O10"/>
    <mergeCell ref="L12:O12"/>
    <mergeCell ref="C26:O26"/>
    <mergeCell ref="B11:E11"/>
    <mergeCell ref="L15:O15"/>
    <mergeCell ref="F11:H11"/>
    <mergeCell ref="I15:K15"/>
    <mergeCell ref="C47:O47"/>
    <mergeCell ref="B9:O9"/>
    <mergeCell ref="I11:K11"/>
    <mergeCell ref="C44:O44"/>
    <mergeCell ref="C72:O72"/>
    <mergeCell ref="L11:O11"/>
    <mergeCell ref="C66:O66"/>
    <mergeCell ref="I14:K14"/>
    <mergeCell ref="B2:O2"/>
    <mergeCell ref="C18:O18"/>
    <mergeCell ref="L14:O14"/>
    <mergeCell ref="C31:O31"/>
    <mergeCell ref="B6:O6"/>
    <mergeCell ref="B5:O5"/>
    <mergeCell ref="B4:O4"/>
    <mergeCell ref="C61:O61"/>
    <mergeCell ref="B7:O7"/>
    <mergeCell ref="B3:O3"/>
    <mergeCell ref="I12:K12"/>
  </mergeCells>
  <dataValidations count="1">
    <dataValidation type="list" allowBlank="1" sqref="L18:N180" xr:uid="{00000000-0002-0000-0000-000000000000}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PhieuChoDuyetTapTrung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2026-08-17T09:06:49Z</dcterms:created>
  <dcterms:modified xsi:type="dcterms:W3CDTF">2026-08-25T00:34:14Z</dcterms:modified>
</cp:coreProperties>
</file>