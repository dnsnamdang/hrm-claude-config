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ô tả trường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B5563"/>
      <sz val="10"/>
    </font>
    <font>
      <b val="1"/>
      <color rgb="00FFFFFF"/>
      <sz val="11"/>
    </font>
    <font>
      <color rgb="00FFFFFF"/>
      <sz val="10"/>
    </font>
    <font>
      <color rgb="001F2937"/>
      <sz val="10"/>
    </font>
    <font>
      <color rgb="00374151"/>
      <sz val="10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2E8F0"/>
      </patternFill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7C3AED"/>
      </patternFill>
    </fill>
    <fill>
      <patternFill patternType="solid">
        <fgColor rgb="00F5F3FF"/>
      </patternFill>
    </fill>
    <fill>
      <patternFill patternType="solid">
        <fgColor rgb="0015803D"/>
      </patternFill>
    </fill>
    <fill>
      <patternFill patternType="solid">
        <fgColor rgb="00F0FDF4"/>
      </patternFill>
    </fill>
    <fill>
      <patternFill patternType="solid">
        <fgColor rgb="0092400E"/>
      </patternFill>
    </fill>
    <fill>
      <patternFill patternType="solid">
        <fgColor rgb="00FFFBEB"/>
      </patternFill>
    </fill>
    <fill>
      <patternFill patternType="solid">
        <fgColor rgb="00F1F5F9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50" customWidth="1" min="4" max="4"/>
    <col width="55" customWidth="1" min="5" max="5"/>
  </cols>
  <sheetData>
    <row r="1" ht="36" customHeight="1">
      <c r="A1" s="1" t="inlineStr">
        <is>
          <t>MÔ TẢ CHI TIẾT CÁC TRƯỜNG - BÁO CÁO THEO DÕI CHỈ SỐ HOÀN THÀNH GIẢI PHÁP THEO VERSION</t>
        </is>
      </c>
    </row>
    <row r="2" ht="22" customHeight="1">
      <c r="A2" s="2" t="inlineStr">
        <is>
          <t>URL: /assign/report/solution-versions  |  Báo cáo group theo Giải pháp, số liệu version cộng dồn lên dòng cha</t>
        </is>
      </c>
    </row>
    <row r="3" ht="24" customHeight="1">
      <c r="A3" s="3" t="inlineStr">
        <is>
          <t>Nhóm cột</t>
        </is>
      </c>
      <c r="B3" s="3" t="inlineStr">
        <is>
          <t>Tên cột</t>
        </is>
      </c>
      <c r="C3" s="3" t="inlineStr">
        <is>
          <t>Áp dụng cho cấp</t>
        </is>
      </c>
      <c r="D3" s="3" t="inlineStr">
        <is>
          <t>Nguồn dữ liệu / Cách tính</t>
        </is>
      </c>
      <c r="E3" s="3" t="inlineStr">
        <is>
          <t>Ghi chú nghiệp vụ</t>
        </is>
      </c>
    </row>
    <row r="4" ht="72" customHeight="1">
      <c r="A4" s="4" t="inlineStr">
        <is>
          <t>THÔNG TIN VERSION</t>
        </is>
      </c>
      <c r="B4" s="5" t="inlineStr">
        <is>
          <t>Trạng thái version</t>
        </is>
      </c>
      <c r="C4" s="5" t="inlineStr">
        <is>
          <t>Version (dòng cha: Giải pháp)</t>
        </is>
      </c>
      <c r="D4" s="5" t="inlineStr">
        <is>
          <t>Lấy trực tiếp từ trạng thái của version đó (Nháp / Đang triển khai / Đã duyệt…)</t>
        </is>
      </c>
      <c r="E4" s="5" t="inlineStr">
        <is>
          <t>Ở dòng Giải pháp: hiển thị trạng thái của version có số thứ tự cao nhất (version mới nhất) để đại diện cho cả giải pháp</t>
        </is>
      </c>
    </row>
    <row r="5" ht="72" customHeight="1">
      <c r="A5" s="6" t="n"/>
      <c r="B5" s="5" t="inlineStr">
        <is>
          <t>Ngày bắt đầu làm</t>
        </is>
      </c>
      <c r="C5" s="5" t="inlineStr">
        <is>
          <t>Version (dòng cha: Giải pháp)</t>
        </is>
      </c>
      <c r="D5" s="5" t="inlineStr">
        <is>
          <t>Ngày bắt đầu triển khai version — trường start_date của version</t>
        </is>
      </c>
      <c r="E5" s="5" t="inlineStr">
        <is>
          <t>Ở dòng Giải pháp: lấy ngày bắt đầu sớm nhất trong tất cả các version của giải pháp đó</t>
        </is>
      </c>
    </row>
    <row r="6" ht="72" customHeight="1">
      <c r="A6" s="6" t="n"/>
      <c r="B6" s="5" t="inlineStr">
        <is>
          <t>Ngày chốt</t>
        </is>
      </c>
      <c r="C6" s="5" t="inlineStr">
        <is>
          <t>Version (dòng cha: Giải pháp)</t>
        </is>
      </c>
      <c r="D6" s="5" t="inlineStr">
        <is>
          <t>Ngày version được duyệt / chốt xong — trường approved_at của version</t>
        </is>
      </c>
      <c r="E6" s="5" t="inlineStr">
        <is>
          <t>Ở dòng Giải pháp: lấy ngày chốt muộn nhất trong tất cả các version</t>
        </is>
      </c>
    </row>
    <row r="7" ht="72" customHeight="1">
      <c r="A7" s="7" t="n"/>
      <c r="B7" s="5" t="inlineStr">
        <is>
          <t>Số ngày thực hiện</t>
        </is>
      </c>
      <c r="C7" s="5" t="inlineStr">
        <is>
          <t>Version (dòng cha: Giải pháp)</t>
        </is>
      </c>
      <c r="D7" s="5" t="inlineStr">
        <is>
          <t>Số ngày giữa Ngày bắt đầu và end_date của version = end_date − start_date (tính theo ngày)</t>
        </is>
      </c>
      <c r="E7" s="5" t="inlineStr">
        <is>
          <t>Ở dòng Giải pháp: tính từ ngày bắt đầu sớm nhất đến ngày chốt muộn nhất của tất cả version</t>
        </is>
      </c>
    </row>
    <row r="8" ht="72" customHeight="1">
      <c r="A8" s="8" t="inlineStr">
        <is>
          <t>KHỐI LƯỢNG &amp; ĐỊNH MỨC</t>
        </is>
      </c>
      <c r="B8" s="9" t="inlineStr">
        <is>
          <t>Số hạng mục</t>
        </is>
      </c>
      <c r="C8" s="9" t="inlineStr">
        <is>
          <t>Giải pháp &amp; Version</t>
        </is>
      </c>
      <c r="D8" s="9" t="inlineStr">
        <is>
          <t>Đếm số hạng mục (module) được cấu hình trên Giải pháp — dữ liệu cố định của Giải pháp, không đổi theo version</t>
        </is>
      </c>
      <c r="E8" s="9" t="inlineStr">
        <is>
          <t>Tất cả version trong cùng một giải pháp hiển thị cùng số hạng mục. Bấm vào số này để mở popup xem danh sách hạng mục kèm giờ giao / giờ thực tế</t>
        </is>
      </c>
    </row>
    <row r="9" ht="72" customHeight="1">
      <c r="A9" s="6" t="n"/>
      <c r="B9" s="9" t="inlineStr">
        <is>
          <t>Số nhân sự tham gia</t>
        </is>
      </c>
      <c r="C9" s="9" t="inlineStr">
        <is>
          <t>Version</t>
        </is>
      </c>
      <c r="D9" s="9" t="inlineStr">
        <is>
          <t>Đếm số người được đăng ký tham gia trong version đó — lấy từ danh sách thành viên version</t>
        </is>
      </c>
      <c r="E9" s="9" t="inlineStr">
        <is>
          <t>Bấm vào để mở popup xem danh sách nhân sự kèm vai trò (PM / Leader hạng mục / Thành viên) và số giờ đã làm</t>
        </is>
      </c>
    </row>
    <row r="10" ht="72" customHeight="1">
      <c r="A10" s="6" t="n"/>
      <c r="B10" s="9" t="inlineStr">
        <is>
          <t>Số task giao</t>
        </is>
      </c>
      <c r="C10" s="9" t="inlineStr">
        <is>
          <t>Version → cộng dồn lên Giải pháp / Phòng / Công ty</t>
        </is>
      </c>
      <c r="D10" s="9" t="inlineStr">
        <is>
          <t>Tổng số task được tạo và giao cho nhân sự trong version đó</t>
        </is>
      </c>
      <c r="E10" s="9" t="inlineStr">
        <is>
          <t>Dòng Giải pháp / Phòng / Công ty: cộng tổng từ tất cả version / giải pháp bên dưới</t>
        </is>
      </c>
    </row>
    <row r="11" ht="72" customHeight="1">
      <c r="A11" s="6" t="n"/>
      <c r="B11" s="9" t="inlineStr">
        <is>
          <t>Số giờ được giao</t>
        </is>
      </c>
      <c r="C11" s="9" t="inlineStr">
        <is>
          <t>Version → cộng dồn lên Giải pháp / Phòng / Công ty</t>
        </is>
      </c>
      <c r="D11" s="9" t="inlineStr">
        <is>
          <t>Tổng giờ dự kiến (định mức) đã giao trên tất cả task trong version — phản ánh kế hoạch công sức dự kiến</t>
        </is>
      </c>
      <c r="E11" s="9" t="inlineStr">
        <is>
          <t>Dòng Giải pháp / Phòng / Công ty: cộng tổng từ tất cả version / giải pháp bên dưới</t>
        </is>
      </c>
    </row>
    <row r="12" ht="72" customHeight="1">
      <c r="A12" s="7" t="n"/>
      <c r="B12" s="9" t="inlineStr">
        <is>
          <t>Số giờ thực tế</t>
        </is>
      </c>
      <c r="C12" s="9" t="inlineStr">
        <is>
          <t>Version → cộng dồn lên Giải pháp / Phòng / Công ty</t>
        </is>
      </c>
      <c r="D12" s="9" t="inlineStr">
        <is>
          <t>Tổng số giờ nhân sự đã thực tế ghi nhận hoàn thành qua nhật ký tiến độ task</t>
        </is>
      </c>
      <c r="E12" s="9" t="inlineStr">
        <is>
          <t>Dòng Giải pháp / Phòng / Công ty: cộng tổng từ tất cả version / giải pháp bên dưới</t>
        </is>
      </c>
    </row>
    <row r="13" ht="72" customHeight="1">
      <c r="A13" s="10" t="inlineStr">
        <is>
          <t>HIỆU SUẤT</t>
        </is>
      </c>
      <c r="B13" s="11" t="inlineStr">
        <is>
          <t>Hiệu suất (%)</t>
        </is>
      </c>
      <c r="C13" s="11" t="inlineStr">
        <is>
          <t>Tất cả cấp</t>
        </is>
      </c>
      <c r="D13" s="11">
        <f> Số giờ được giao ÷ Số giờ thực tế × 100%
Nếu chưa có giờ thực tế → hiển thị 0%</f>
        <v/>
      </c>
      <c r="E13" s="11" t="inlineStr">
        <is>
          <t>Hiệu suất &gt; 100%: nhóm làm nhanh hơn kế hoạch
Hiệu suất &lt; 100%: tốn nhiều giờ hơn định mức</t>
        </is>
      </c>
    </row>
    <row r="14" ht="72" customHeight="1">
      <c r="A14" s="6" t="n"/>
      <c r="B14" s="11" t="inlineStr">
        <is>
          <t>Task / giờ</t>
        </is>
      </c>
      <c r="C14" s="11" t="inlineStr">
        <is>
          <t>Tất cả cấp</t>
        </is>
      </c>
      <c r="D14" s="11">
        <f> Số task giao ÷ Số giờ thực tế
Phản ánh năng suất xử lý task trên mỗi giờ làm việc thực tế</f>
        <v/>
      </c>
      <c r="E14" s="11" t="inlineStr">
        <is>
          <t>Con số càng cao → nhóm xử lý task hiệu quả hơn
Nếu chưa có giờ thực tế → hiển thị dấu — (không tính được)</t>
        </is>
      </c>
    </row>
    <row r="15" ht="72" customHeight="1">
      <c r="A15" s="7" t="n"/>
      <c r="B15" s="11" t="inlineStr">
        <is>
          <t>Đánh giá hiệu suất</t>
        </is>
      </c>
      <c r="C15" s="11" t="inlineStr">
        <is>
          <t>Tất cả cấp</t>
        </is>
      </c>
      <c r="D15" s="11" t="inlineStr">
        <is>
          <t>Nhãn xếp loại tự động theo % Hiệu suất:
• Tốt (≥ 90%) — badge xanh lá
• Đạt (70–89%) — badge xanh dương
• Cần cải thiện (&lt; 70%) — badge đỏ
• Không có dữ liệu — badge xám</t>
        </is>
      </c>
      <c r="E15" s="11" t="inlineStr">
        <is>
          <t>Hiển thị dưới dạng badge màu trực quan. Ngưỡng đánh giá áp dụng nhất quán cho cả dòng Version, Giải pháp, Phòng và Công ty</t>
        </is>
      </c>
    </row>
    <row r="16" ht="72" customHeight="1">
      <c r="A16" s="12" t="inlineStr">
        <is>
          <t>DÒNG TỔNG (đầu bảng)</t>
        </is>
      </c>
      <c r="B16" s="13" t="inlineStr">
        <is>
          <t>Tổng toàn bộ version</t>
        </is>
      </c>
      <c r="C16" s="13" t="inlineStr">
        <is>
          <t>Dòng tổng</t>
        </is>
      </c>
      <c r="D16" s="13" t="inlineStr">
        <is>
          <t>Tổng số version có trong kết quả lọc hiện tại</t>
        </is>
      </c>
      <c r="E16" s="13" t="inlineStr">
        <is>
          <t>Hiển thị kèm: số giải pháp / thời gian TB / hiệu suất chung toàn bộ kết quả</t>
        </is>
      </c>
    </row>
    <row r="17" ht="72" customHeight="1">
      <c r="A17" s="6" t="n"/>
      <c r="B17" s="13" t="inlineStr">
        <is>
          <t>Thời gian TB (ngày)</t>
        </is>
      </c>
      <c r="C17" s="13" t="inlineStr">
        <is>
          <t>Dòng tổng</t>
        </is>
      </c>
      <c r="D17" s="13" t="inlineStr">
        <is>
          <t>Trung bình số ngày thực hiện một version
= Tổng số ngày của tất cả version có đủ start_date &amp; end_date ÷ số version đủ điều kiện</t>
        </is>
      </c>
      <c r="E17" s="13" t="inlineStr">
        <is>
          <t>Chỉ tính những version đã có cả ngày bắt đầu lẫn ngày kết thúc — version chưa đủ thông tin bị loại khỏi phép tính này</t>
        </is>
      </c>
    </row>
    <row r="18" ht="72" customHeight="1">
      <c r="A18" s="7" t="n"/>
      <c r="B18" s="13" t="inlineStr">
        <is>
          <t>Hiệu suất giờ (%)</t>
        </is>
      </c>
      <c r="C18" s="13" t="inlineStr">
        <is>
          <t>Dòng tổng</t>
        </is>
      </c>
      <c r="D18" s="13">
        <f> Tổng giờ được giao toàn bộ ÷ Tổng giờ thực tế toàn bộ × 100%</f>
        <v/>
      </c>
      <c r="E18" s="13" t="inlineStr">
        <is>
          <t>Tính từ toàn bộ version trong kết quả bộ lọc hiện tại — không phải trung bình cộng % từng dòng</t>
        </is>
      </c>
    </row>
    <row r="20" ht="22" customHeight="1">
      <c r="A20" s="14" t="inlineStr">
        <is>
          <t>GHI CHÚ CHUNG</t>
        </is>
      </c>
    </row>
    <row r="21" ht="20" customHeight="1">
      <c r="A21" s="15" t="inlineStr">
        <is>
          <t>• Dòng Công ty và Phòng GP là dòng cộng dồn — tất cả số liệu được tính bằng cách cộng tổng từ các dòng Giải pháp / Version bên dưới.</t>
        </is>
      </c>
    </row>
    <row r="22" ht="20" customHeight="1">
      <c r="A22" s="15" t="inlineStr">
        <is>
          <t>• Dòng Giải pháp cộng dồn từ tất cả version của giải pháp đó.</t>
        </is>
      </c>
    </row>
    <row r="23" ht="20" customHeight="1">
      <c r="A23" s="15" t="inlineStr">
        <is>
          <t>• Cột Ngày bắt đầu / Ngày chốt / Số ngày ở dòng Giải pháp KHÔNG cộng số học — lấy min/max để phản ánh tổng khoảng thời gian từ version đầu đến version cuối.</t>
        </is>
      </c>
    </row>
    <row r="24" ht="20" customHeight="1">
      <c r="A24" s="15" t="inlineStr">
        <is>
          <t>• Bấm vào số Số hạng mục hoặc Số nhân sự (in nghiêng, có gạch chân) để mở popup chi tiết.</t>
        </is>
      </c>
    </row>
    <row r="25" ht="20" customHeight="1">
      <c r="A25" s="15" t="inlineStr">
        <is>
          <t>• Phân quyền: Tổng công ty xem tất cả / Công ty xem trong công ty / Phòng ban xem trong phòng / Không có quyền đặc biệt: chỉ xem giải pháp mình là PM.</t>
        </is>
      </c>
    </row>
  </sheetData>
  <mergeCells count="12">
    <mergeCell ref="A21:E21"/>
    <mergeCell ref="A4:A7"/>
    <mergeCell ref="A20:E20"/>
    <mergeCell ref="A24:E24"/>
    <mergeCell ref="A2:E2"/>
    <mergeCell ref="A16:A18"/>
    <mergeCell ref="A8:A12"/>
    <mergeCell ref="A25:E25"/>
    <mergeCell ref="A1:E1"/>
    <mergeCell ref="A23:E23"/>
    <mergeCell ref="A22:E2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2026-05-04T07:49:31Z</dcterms:created>
  <dcterms:modified xsi:type="dcterms:W3CDTF">2026-05-04T07:49:31Z</dcterms:modified>
</cp:coreProperties>
</file>