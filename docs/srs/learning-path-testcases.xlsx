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 trinh hoc" state="visible" r:id="rId4"/>
  </sheets>
  <calcPr calcId="171027"/>
</workbook>
</file>

<file path=xl/sharedStrings.xml><?xml version="1.0" encoding="utf-8"?>
<sst xmlns="http://schemas.openxmlformats.org/spreadsheetml/2006/main" count="1276" uniqueCount="494">
  <si>
    <t>Testcase _ Lộ trình học (Training/LearningPath)</t>
  </si>
  <si>
    <t>TEST SUMMARY</t>
  </si>
  <si>
    <t>Số trường hợp kiểm thử đạt (P):</t>
  </si>
  <si>
    <t>Số trường hợp kiểm thử không đạt (F):</t>
  </si>
  <si>
    <t>Số trường hợp kiểm thử đang xem xét (PE):</t>
  </si>
  <si>
    <t>Số trường hợp kiểm thử chưa thực hiện:</t>
  </si>
  <si>
    <t>Tổng số trường hợp kiểm thử:</t>
  </si>
  <si>
    <t>Module</t>
  </si>
  <si>
    <t>Nhóm chức năng</t>
  </si>
  <si>
    <t>TC ID</t>
  </si>
  <si>
    <t>Chức năng</t>
  </si>
  <si>
    <t>Priority</t>
  </si>
  <si>
    <t>Tiền điều kiện</t>
  </si>
  <si>
    <t>Bước thực hiện</t>
  </si>
  <si>
    <t>Test Data</t>
  </si>
  <si>
    <t>Expected Result (chi tiết)</t>
  </si>
  <si>
    <t>KQ thực tế</t>
  </si>
  <si>
    <t>Status</t>
  </si>
  <si>
    <t>Ghi chú</t>
  </si>
  <si>
    <t>I. DANH SÁCH LỘ TRÌNH HỌC (/training/learning-path)</t>
  </si>
  <si>
    <t>Đào tạo</t>
  </si>
  <si>
    <t>Lộ trình học</t>
  </si>
  <si>
    <t>LTH_001.001</t>
  </si>
  <si>
    <t>Hiển thị trang danh sách khi truy cập</t>
  </si>
  <si>
    <t>P0</t>
  </si>
  <si>
    <t>User đã đăng nhập, có quyền "Quản lý lộ trình học"</t>
  </si>
  <si>
    <t>1. Vào menu Đào tạo &gt; Lộ trình học</t>
  </si>
  <si>
    <t/>
  </si>
  <si>
    <t xml:space="preserve">Hiển thị bộ lọc nhanh (tìm theo mã, tên)
Bảng có cột: STT, Mã+Tên lộ trình, Loại đào tạo, Người tạo, Số khoá học, Tổng bài học, Điều kiện đạt, Trạng thái, Cập nhật
Nút "Thêm mới" hiện</t>
  </si>
  <si>
    <t>Not Executed</t>
  </si>
  <si>
    <t>LTH_001.002</t>
  </si>
  <si>
    <t>Hiển thị badge trạng thái đúng màu</t>
  </si>
  <si>
    <t>Có lộ trình ở đủ 3 trạng thái</t>
  </si>
  <si>
    <t>1. Quan sát cột Trạng thái</t>
  </si>
  <si>
    <t>3 lộ trình status 1, 2, 3</t>
  </si>
  <si>
    <t xml:space="preserve">Nháp = xám (#64748B)
Đang dùng = xanh lá (#16A34A)
Khoá = đỏ (#DC2626)</t>
  </si>
  <si>
    <t>LTH_001.003</t>
  </si>
  <si>
    <t>Tìm kiếm nhanh theo mã lộ trình</t>
  </si>
  <si>
    <t>Lộ trình LP-2026-00001 tồn tại</t>
  </si>
  <si>
    <t xml:space="preserve">1. Nhập "LP-2026" vào ô tìm kiếm nhanh
2. Enter</t>
  </si>
  <si>
    <t>Keyword: LP-2026</t>
  </si>
  <si>
    <t>Hiển thị các lộ trình có code chứa "LP-2026"</t>
  </si>
  <si>
    <t>LTH_001.004</t>
  </si>
  <si>
    <t>Tìm kiếm nhanh theo tên lộ trình</t>
  </si>
  <si>
    <t>Có lộ trình tên "Onboarding Dev"</t>
  </si>
  <si>
    <t xml:space="preserve">1. Nhập "Onboarding" vào ô tìm kiếm nhanh
2. Enter</t>
  </si>
  <si>
    <t>Keyword: Onboarding</t>
  </si>
  <si>
    <t>Hiển thị lộ trình có name chứa "Onboarding"</t>
  </si>
  <si>
    <t>LTH_001.005</t>
  </si>
  <si>
    <t>Filter theo Trạng thái</t>
  </si>
  <si>
    <t>Có lộ trình ở cả 3 trạng thái</t>
  </si>
  <si>
    <t xml:space="preserve">1. Mở bộ lọc nâng cao
2. Chọn Trạng thái = "Đang dùng"
3. Nhấn Tìm kiếm</t>
  </si>
  <si>
    <t>status = 2</t>
  </si>
  <si>
    <t>Chỉ hiển thị lộ trình status = 2</t>
  </si>
  <si>
    <t>LTH_001.006</t>
  </si>
  <si>
    <t>Filter theo Loại đào tạo</t>
  </si>
  <si>
    <t>Có nhiều loại đào tạo</t>
  </si>
  <si>
    <t xml:space="preserve">1. Mở bộ lọc nâng cao
2. Chọn Loại đào tạo
3. Tìm kiếm</t>
  </si>
  <si>
    <t>training_type_id = X</t>
  </si>
  <si>
    <t>Chỉ hiển thị lộ trình thuộc loại đào tạo X</t>
  </si>
  <si>
    <t>LTH_001.007</t>
  </si>
  <si>
    <t>Filter theo Điều kiện đạt</t>
  </si>
  <si>
    <t>P1</t>
  </si>
  <si>
    <t>Có lộ trình với các result_rule khác nhau</t>
  </si>
  <si>
    <t xml:space="preserve">1. Chọn "Tất cả khoá bắt buộc ĐẠT"
2. Tìm kiếm</t>
  </si>
  <si>
    <t>result_rule = REQUIRED_ONLY</t>
  </si>
  <si>
    <t>Chỉ hiển thị lộ trình result_rule = REQUIRED_ONLY</t>
  </si>
  <si>
    <t>LTH_001.008</t>
  </si>
  <si>
    <t>Filter theo Người tạo</t>
  </si>
  <si>
    <t>Nhiều lộ trình do nhiều user tạo</t>
  </si>
  <si>
    <t xml:space="preserve">1. Chọn người tạo cụ thể
2. Tìm kiếm</t>
  </si>
  <si>
    <t>created_by = user A</t>
  </si>
  <si>
    <t>Chỉ hiển thị lộ trình do user A tạo</t>
  </si>
  <si>
    <t>LTH_001.009</t>
  </si>
  <si>
    <t>Filter theo Người cập nhật gần nhất</t>
  </si>
  <si>
    <t>Nhiều lộ trình</t>
  </si>
  <si>
    <t xml:space="preserve">1. Chọn người cập nhật
2. Tìm kiếm</t>
  </si>
  <si>
    <t>updated_by = user B</t>
  </si>
  <si>
    <t>Chỉ hiển thị lộ trình updated_by = B</t>
  </si>
  <si>
    <t>LTH_001.010</t>
  </si>
  <si>
    <t>Filter theo khoảng Ngày cập nhật</t>
  </si>
  <si>
    <t>Có lộ trình cập nhật trong nhiều ngày</t>
  </si>
  <si>
    <t xml:space="preserve">1. Nhập "Ngày cập nhật từ" và "Ngày cập nhật đến"
2. Tìm kiếm</t>
  </si>
  <si>
    <t>Từ 01/04/2026, Đến 30/04/2026</t>
  </si>
  <si>
    <t>Chỉ hiển thị lộ trình có updated_at nằm trong khoảng</t>
  </si>
  <si>
    <t>LTH_001.011</t>
  </si>
  <si>
    <t>Kết hợp nhiều filter</t>
  </si>
  <si>
    <t>Dữ liệu phong phú</t>
  </si>
  <si>
    <t xml:space="preserve">1. Chọn Trạng thái = Đang dùng
2. Chọn Loại đào tạo = X
3. Tìm kiếm</t>
  </si>
  <si>
    <t>Kết quả thoả cả 2 điều kiện (AND)</t>
  </si>
  <si>
    <t>LTH_001.012</t>
  </si>
  <si>
    <t>Reset bộ lọc</t>
  </si>
  <si>
    <t>Đã filter, bảng đang lọc</t>
  </si>
  <si>
    <t>1. Nhấn nút Reset</t>
  </si>
  <si>
    <t xml:space="preserve">Tất cả filter trở về mặc định
Bảng hiển thị toàn bộ dữ liệu</t>
  </si>
  <si>
    <t>LTH_001.013</t>
  </si>
  <si>
    <t>Sort theo Mã lộ trình</t>
  </si>
  <si>
    <t>1. Click header cột "Mã lộ trình" 2 lần</t>
  </si>
  <si>
    <t xml:space="preserve">Lần 1: sort tăng dần code
Lần 2: sort giảm dần code</t>
  </si>
  <si>
    <t>LTH_001.014</t>
  </si>
  <si>
    <t>Sort theo Ngày cập nhật</t>
  </si>
  <si>
    <t>1. Click header cột "Cập nhật"</t>
  </si>
  <si>
    <t>Sort theo updated_at tăng/giảm dần</t>
  </si>
  <si>
    <t>LTH_001.015</t>
  </si>
  <si>
    <t>Phân trang - Chuyển trang</t>
  </si>
  <si>
    <t>Có &gt; 20 lộ trình</t>
  </si>
  <si>
    <t>1. Click trang 2</t>
  </si>
  <si>
    <t>Bảng load dữ liệu trang 2, pagination cập nhật</t>
  </si>
  <si>
    <t>LTH_001.016</t>
  </si>
  <si>
    <t>Phân trang - Đổi số dòng/trang</t>
  </si>
  <si>
    <t>Có nhiều lộ trình</t>
  </si>
  <si>
    <t>1. Chọn 50 trong dropdown số dòng/trang</t>
  </si>
  <si>
    <t>Bảng hiển thị tối đa 50 lộ trình/trang</t>
  </si>
  <si>
    <t>LTH_001.017</t>
  </si>
  <si>
    <t>Action - Xem chi tiết</t>
  </si>
  <si>
    <t>Có lộ trình trong danh sách</t>
  </si>
  <si>
    <t>1. Click icon Xem ở dòng lộ trình</t>
  </si>
  <si>
    <t xml:space="preserve">Điều hướng tới /training/learning-path/{id}
Hiển thị chi tiết read-only</t>
  </si>
  <si>
    <t>LTH_001.018</t>
  </si>
  <si>
    <t>Action - Sửa chỉ hiện cho lộ trình Nháp</t>
  </si>
  <si>
    <t>Có lộ trình Nháp và Đang dùng</t>
  </si>
  <si>
    <t>1. Quan sát cột Hành động</t>
  </si>
  <si>
    <t xml:space="preserve">Lộ trình Nháp: icon Sửa hiện
Lộ trình Đang dùng / Khoá: icon Sửa ẩn</t>
  </si>
  <si>
    <t>LTH_001.019</t>
  </si>
  <si>
    <t>Action - Xoá chỉ hiện cho lộ trình Nháp</t>
  </si>
  <si>
    <t>Có lộ trình Nháp</t>
  </si>
  <si>
    <t xml:space="preserve">1. Click icon Xoá
2. Confirm</t>
  </si>
  <si>
    <t>status = 1</t>
  </si>
  <si>
    <t xml:space="preserve">Lộ trình bị xoá khỏi DB, biến mất khỏi bảng
Lộ trình Đang dùng/Khoá: nút Xoá không hiện</t>
  </si>
  <si>
    <t>LTH_001.020</t>
  </si>
  <si>
    <t>Toggle Khoá từ Nháp → Khoá</t>
  </si>
  <si>
    <t>Lộ trình status = Nháp</t>
  </si>
  <si>
    <t xml:space="preserve">1. Click toggle khoá trên dòng
2. Xác nhận</t>
  </si>
  <si>
    <t xml:space="preserve">Status chuyển thành Khoá (#DC2626)
Toast: "Đã khoá lộ trình học"</t>
  </si>
  <si>
    <t>LTH_001.021</t>
  </si>
  <si>
    <t>Toggle Mở khoá từ Khoá → Nháp</t>
  </si>
  <si>
    <t>Lộ trình status = Khoá</t>
  </si>
  <si>
    <t xml:space="preserve">1. Click toggle khoá
2. Xác nhận</t>
  </si>
  <si>
    <t xml:space="preserve">Status chuyển thành Nháp (#64748B)
Toast: "Đã mở khoá lộ trình học"</t>
  </si>
  <si>
    <t>LTH_001.022</t>
  </si>
  <si>
    <t>Toggle Khoá cho lộ trình Đang dùng → bị chặn</t>
  </si>
  <si>
    <t>Lộ trình status = Đang dùng</t>
  </si>
  <si>
    <t>1. Click toggle khoá</t>
  </si>
  <si>
    <t xml:space="preserve">Báo lỗi: "Lộ trình đang dùng, không thể khoá"
Status không đổi</t>
  </si>
  <si>
    <t>LTH_001.023</t>
  </si>
  <si>
    <t>Hiển thị số khoá học và tổng bài học</t>
  </si>
  <si>
    <t>Lộ trình có 3 khoá, tổng 15 bài</t>
  </si>
  <si>
    <t>1. Quan sát cột "Số khoá học" và "Tổng bài học"</t>
  </si>
  <si>
    <t xml:space="preserve">Số khoá học = 3
Tổng bài học = 15 (tổng lessons của tất cả subjects)</t>
  </si>
  <si>
    <t>II. TẠO LỘ TRÌNH HỌC (/training/learning-path/add)</t>
  </si>
  <si>
    <t>LTH_002.001</t>
  </si>
  <si>
    <t>Form hiển thị 4 tab đầy đủ</t>
  </si>
  <si>
    <t>User có quyền "Quản lý lộ trình học"</t>
  </si>
  <si>
    <t>1. Click nút "Thêm mới" từ danh sách</t>
  </si>
  <si>
    <t xml:space="preserve">Form có 4 tab: Thông tin lộ trình, Cấu hình kết quả, Cấu hình người học, Chứng chỉ
Tab "Thông tin lộ trình" active mặc định</t>
  </si>
  <si>
    <t>LTH_002.002</t>
  </si>
  <si>
    <t>Tab Thông tin - Mã lộ trình tự sinh</t>
  </si>
  <si>
    <t>Vào trang tạo mới</t>
  </si>
  <si>
    <t>1. Quan sát field "Mã lộ trình"</t>
  </si>
  <si>
    <t xml:space="preserve">Tự sinh format LP-YYYY-NNNNN (ví dụ: LP-2026-00001)
Field read-only, không cho sửa</t>
  </si>
  <si>
    <t>LTH_002.003</t>
  </si>
  <si>
    <t>Tab Thông tin - Validate bắt buộc Tên lộ trình</t>
  </si>
  <si>
    <t>Form trống</t>
  </si>
  <si>
    <t xml:space="preserve">1. Để trống Tên lộ trình
2. Click Lưu</t>
  </si>
  <si>
    <t xml:space="preserve">Báo lỗi: field name bắt buộc
Không gọi API</t>
  </si>
  <si>
    <t>LTH_002.004</t>
  </si>
  <si>
    <t>Tab Thông tin - Validate max length Tên (255 ký tự)</t>
  </si>
  <si>
    <t xml:space="preserve">1. Nhập tên &gt; 255 ký tự
2. Lưu</t>
  </si>
  <si>
    <t>Chuỗi 260 ký tự</t>
  </si>
  <si>
    <t>Báo lỗi validate max:255</t>
  </si>
  <si>
    <t>LTH_002.005</t>
  </si>
  <si>
    <t>Tab Thông tin - Chọn Loại đào tạo</t>
  </si>
  <si>
    <t>Có nhiều training_types trong hệ thống</t>
  </si>
  <si>
    <t xml:space="preserve">1. Dropdown Loại đào tạo
2. Chọn 1 loại</t>
  </si>
  <si>
    <t xml:space="preserve">Dropdown load danh sách training_types
Giá trị được gán vào form</t>
  </si>
  <si>
    <t>LTH_002.006</t>
  </si>
  <si>
    <t>Tab Thông tin - Status mặc định là Nháp</t>
  </si>
  <si>
    <t>1. Quan sát field Status</t>
  </si>
  <si>
    <t xml:space="preserve">Mặc định = Nháp (1)
Có thể đổi sang Đang dùng khi tạo</t>
  </si>
  <si>
    <t>LTH_002.007</t>
  </si>
  <si>
    <t>Tab Thông tin - Switch "Học tuần tự" (linear_required)</t>
  </si>
  <si>
    <t>1. Bật switch "Yêu cầu học tuần tự"</t>
  </si>
  <si>
    <t xml:space="preserve">linear_required = true
Gợi ý: người học phải hoàn thành khoá trước mới mở khoá sau</t>
  </si>
  <si>
    <t>LTH_002.008</t>
  </si>
  <si>
    <t>Tab Thông tin - Switch "Công khai" (is_public)</t>
  </si>
  <si>
    <t>1. Bật switch "Công khai"</t>
  </si>
  <si>
    <t>is_public = true</t>
  </si>
  <si>
    <t>LTH_002.009</t>
  </si>
  <si>
    <t>Tab Thông tin - Nhập Mô tả, Mục tiêu, Ghi chú quản trị</t>
  </si>
  <si>
    <t>1. Nhập text vào 3 field: Mô tả, Mục tiêu, Ghi chú quản trị</t>
  </si>
  <si>
    <t>admin_note max 500 ký tự</t>
  </si>
  <si>
    <t xml:space="preserve">Dữ liệu được lưu đúng
admin_note &gt; 500 ký tự → báo lỗi</t>
  </si>
  <si>
    <t>LTH_002.010</t>
  </si>
  <si>
    <t>Tab Thông tin - Thêm khoá học vào lộ trình</t>
  </si>
  <si>
    <t>Có subjects trong hệ thống</t>
  </si>
  <si>
    <t xml:space="preserve">1. Click "Thêm khoá học"
2. Modal hiện danh sách subjects
3. Chọn 2 khoá
4. Xác nhận</t>
  </si>
  <si>
    <t xml:space="preserve">2 khoá hiện trong danh sách với sort_order tự gán
Hiển thị tên khoá + số bài học</t>
  </si>
  <si>
    <t>LTH_002.011</t>
  </si>
  <si>
    <t>Tab Thông tin - Kéo thả sắp xếp khoá học</t>
  </si>
  <si>
    <t>Đã thêm 3+ khoá</t>
  </si>
  <si>
    <t>1. Kéo khoá thứ 3 lên vị trí 1</t>
  </si>
  <si>
    <t xml:space="preserve">Thứ tự cập nhật ngay trên UI
sort_order được gán lại tương ứng</t>
  </si>
  <si>
    <t>LTH_002.012</t>
  </si>
  <si>
    <t>Tab Thông tin - Cấu hình khoá: bắt buộc/tuỳ chọn + ghi chú</t>
  </si>
  <si>
    <t>Đã thêm khoá</t>
  </si>
  <si>
    <t xml:space="preserve">1. Click icon cấu hình trên 1 khoá
2. Toggle "Bắt buộc"
3. Nhập ghi chú
4. OK</t>
  </si>
  <si>
    <t>is_required = true, note max 500</t>
  </si>
  <si>
    <t xml:space="preserve">Khoá được đánh dấu bắt buộc
Ghi chú lưu đúng</t>
  </si>
  <si>
    <t>LTH_002.013</t>
  </si>
  <si>
    <t>Tab Thông tin - Xoá khoá khỏi lộ trình</t>
  </si>
  <si>
    <t xml:space="preserve">1. Click icon xoá trên 1 khoá
2. Xác nhận</t>
  </si>
  <si>
    <t xml:space="preserve">Khoá biến mất khỏi danh sách
sort_order các khoá còn lại reindex</t>
  </si>
  <si>
    <t>LTH_002.014</t>
  </si>
  <si>
    <t>Tab Kết quả - Chọn rule "Tất cả khoá bắt buộc ĐẠT"</t>
  </si>
  <si>
    <t xml:space="preserve">1. Chuyển tab "Cấu hình kết quả"
2. Chọn "Tất cả khoá bắt buộc ĐẠT"</t>
  </si>
  <si>
    <t xml:space="preserve">Chọn thành công
Không hiện field % tối thiểu</t>
  </si>
  <si>
    <t>LTH_002.015</t>
  </si>
  <si>
    <t>Tab Kết quả - Chọn rule "Tất cả khoá trong lộ trình ĐẠT"</t>
  </si>
  <si>
    <t>1. Chọn "Tất cả khoá trong lộ trình ĐẠT"</t>
  </si>
  <si>
    <t>result_rule = ALL_COURSES</t>
  </si>
  <si>
    <t>LTH_002.016</t>
  </si>
  <si>
    <t>Tab Kết quả - Chọn rule "Đạt tối thiểu X%" + nhập %</t>
  </si>
  <si>
    <t xml:space="preserve">1. Chọn "Đạt tối thiểu X% số khoá"
2. Nhập 70</t>
  </si>
  <si>
    <t>result_rule = MIN_PERCENT, result_min_pass_percent = 70</t>
  </si>
  <si>
    <t xml:space="preserve">Field % tối thiểu hiện ra
Giá trị 70 được set</t>
  </si>
  <si>
    <t>LTH_002.017</t>
  </si>
  <si>
    <t>Tab Kết quả - Validate % phải 1-100 khi rule MIN_PERCENT</t>
  </si>
  <si>
    <t>result_rule = MIN_PERCENT</t>
  </si>
  <si>
    <t xml:space="preserve">1. Nhập 0 → lưu
2. Nhập 101 → lưu
3. Để trống → lưu</t>
  </si>
  <si>
    <t xml:space="preserve">Cả 3 trường hợp báo lỗi validate
Chỉ chấp nhận 1-100</t>
  </si>
  <si>
    <t>LTH_002.018</t>
  </si>
  <si>
    <t>Tab Kết quả - Hiển thị thống kê khoá học</t>
  </si>
  <si>
    <t>Đã thêm 5 khoá (3 bắt buộc, 2 tuỳ chọn)</t>
  </si>
  <si>
    <t>1. Xem panel thống kê</t>
  </si>
  <si>
    <t>Hiển thị: Tổng khoá = 5, Bắt buộc = 3, Tuỳ chọn = 2</t>
  </si>
  <si>
    <t>LTH_002.019</t>
  </si>
  <si>
    <t>Tab Người học - Thêm assignee theo Phòng ban (mandatory)</t>
  </si>
  <si>
    <t>Có phòng ban trong hệ thống</t>
  </si>
  <si>
    <t xml:space="preserve">1. Chuyển tab "Cấu hình người học"
2. Cột "Bắt buộc" → pill "Phòng ban"
3. Chọn 2 phòng ban</t>
  </si>
  <si>
    <t>assignee_type=department, assignment_mode=mandatory</t>
  </si>
  <si>
    <t>2 phòng ban hiện trong cột Bắt buộc</t>
  </si>
  <si>
    <t>LTH_002.020</t>
  </si>
  <si>
    <t>Tab Người học - Thêm assignee theo Vị trí (recommended)</t>
  </si>
  <si>
    <t>Có positions</t>
  </si>
  <si>
    <t xml:space="preserve">1. Cột "Khuyến nghị" → pill "Vị trí"
2. Chọn 1 vị trí</t>
  </si>
  <si>
    <t>assignee_type=position, assignment_mode=recommended</t>
  </si>
  <si>
    <t>1 vị trí hiện trong cột Khuyến nghị</t>
  </si>
  <si>
    <t>LTH_002.021</t>
  </si>
  <si>
    <t>Tab Người học - Thêm assignee theo Năng lực</t>
  </si>
  <si>
    <t>Có capabilities</t>
  </si>
  <si>
    <t xml:space="preserve">1. Pill "Năng lực"
2. Chọn 1 capability</t>
  </si>
  <si>
    <t>assignee_type=capability</t>
  </si>
  <si>
    <t>Capability hiện trong danh sách assignees</t>
  </si>
  <si>
    <t>LTH_002.022</t>
  </si>
  <si>
    <t>Tab Chứng chỉ - Bật/tắt chứng chỉ</t>
  </si>
  <si>
    <t xml:space="preserve">1. Chuyển tab "Chứng chỉ"
2. Bật switch "Cấp chứng chỉ"</t>
  </si>
  <si>
    <t>certificate_enabled = true</t>
  </si>
  <si>
    <t xml:space="preserve">Panel cấu hình chứng chỉ hiện ra
Khi tắt: panel ẩn đi</t>
  </si>
  <si>
    <t>LTH_002.023</t>
  </si>
  <si>
    <t>Tab Chứng chỉ - Upload template</t>
  </si>
  <si>
    <t xml:space="preserve">1. Click "Upload template"
2. Chọn file ảnh (1600x900)</t>
  </si>
  <si>
    <t xml:space="preserve">File được upload, preview hiện trên canvas
certificate_template_url được set</t>
  </si>
  <si>
    <t>LTH_002.024</t>
  </si>
  <si>
    <t>Tab Chứng chỉ - Cấu hình 4 field vị trí</t>
  </si>
  <si>
    <t>P2</t>
  </si>
  <si>
    <t>Đã upload template</t>
  </si>
  <si>
    <t xml:space="preserve">1. Cấu hình: Tên khoá, Họ tên, Ngày cấp, Người ký
2. Nhập x, y, size, weight cho từng field</t>
  </si>
  <si>
    <t xml:space="preserve">certificate_fields lưu đúng 4 field config
Preview hiện text đúng vị trí</t>
  </si>
  <si>
    <t>LTH_002.025</t>
  </si>
  <si>
    <t>Tab Chứng chỉ - Render preview + Download PDF</t>
  </si>
  <si>
    <t>Đã cấu hình đầy đủ</t>
  </si>
  <si>
    <t xml:space="preserve">1. Click "Render"
2. Click "Download PDF"</t>
  </si>
  <si>
    <t xml:space="preserve">Render: canvas hiện template + text đúng vị trí
Download: file .pdf được tải về</t>
  </si>
  <si>
    <t>LTH_002.026</t>
  </si>
  <si>
    <t>Lưu lộ trình thành công (status Nháp)</t>
  </si>
  <si>
    <t>Đã nhập tên + chọn result_rule + thêm ≥1 khoá</t>
  </si>
  <si>
    <t>1. Click Lưu</t>
  </si>
  <si>
    <t xml:space="preserve">Tạo thành công, toast "Tạo lộ trình học thành công"
Điều hướng về danh sách
Code format LP-YYYY-NNNNN</t>
  </si>
  <si>
    <t>LTH_002.027</t>
  </si>
  <si>
    <t>Lưu lộ trình với status Đang dùng</t>
  </si>
  <si>
    <t>Đã nhập đầy đủ + chọn status = Đang dùng</t>
  </si>
  <si>
    <t xml:space="preserve">1. Chọn Status = "Đang dùng"
2. Click Lưu</t>
  </si>
  <si>
    <t>Tạo thành công với status = 2 ngay lập tức</t>
  </si>
  <si>
    <t>LTH_002.028</t>
  </si>
  <si>
    <t>Validate: result_rule bắt buộc</t>
  </si>
  <si>
    <t xml:space="preserve">1. Không chọn result_rule
2. Lưu</t>
  </si>
  <si>
    <t>Báo lỗi validate: result_rule là bắt buộc</t>
  </si>
  <si>
    <t>III. SỬA LỘ TRÌNH HỌC (/training/learning-path/{id}/edit)</t>
  </si>
  <si>
    <t>LTH_003.001</t>
  </si>
  <si>
    <t>Load dữ liệu đầy đủ khi vào trang sửa</t>
  </si>
  <si>
    <t>Lộ trình Nháp có 3 khoá + 2 assignees + certificate</t>
  </si>
  <si>
    <t>1. Vào /training/learning-path/{id}/edit</t>
  </si>
  <si>
    <t xml:space="preserve">Tất cả 4 tab hiển thị dữ liệu đã lưu:
- Tab Info: tên, loại ĐT, code, subjects
- Tab Kết quả: rule + %
- Tab Người học: assignees
- Tab Chứng chỉ: template + fields</t>
  </si>
  <si>
    <t>LTH_003.002</t>
  </si>
  <si>
    <t>Sửa tên + lưu thành công</t>
  </si>
  <si>
    <t>Lộ trình Nháp</t>
  </si>
  <si>
    <t xml:space="preserve">1. Đổi tên
2. Lưu</t>
  </si>
  <si>
    <t xml:space="preserve">Toast: "Cập nhật lộ trình học thành công"
Tên mới hiện ở danh sách</t>
  </si>
  <si>
    <t>LTH_003.003</t>
  </si>
  <si>
    <t>Thêm/bớt khoá khi sửa</t>
  </si>
  <si>
    <t>Lộ trình có 3 khoá</t>
  </si>
  <si>
    <t xml:space="preserve">1. Xoá 1 khoá
2. Thêm 2 khoá mới
3. Lưu</t>
  </si>
  <si>
    <t xml:space="preserve">Sau lưu: lộ trình có 4 khoá
sort_order cập nhật đúng</t>
  </si>
  <si>
    <t>LTH_003.004</t>
  </si>
  <si>
    <t>Đổi result_rule từ REQUIRED_ONLY sang MIN_PERCENT</t>
  </si>
  <si>
    <t>Lộ trình có result_rule = REQUIRED_ONLY</t>
  </si>
  <si>
    <t xml:space="preserve">1. Đổi sang MIN_PERCENT
2. Nhập 60%
3. Lưu</t>
  </si>
  <si>
    <t xml:space="preserve">result_rule = MIN_PERCENT
result_min_pass_percent = 60</t>
  </si>
  <si>
    <t>LTH_003.005</t>
  </si>
  <si>
    <t>Thay đổi assignees khi sửa</t>
  </si>
  <si>
    <t>Lộ trình có 2 assignees</t>
  </si>
  <si>
    <t xml:space="preserve">1. Xoá 1 assignee
2. Thêm 1 assignee mới
3. Lưu</t>
  </si>
  <si>
    <t>Assignees được sync đúng (xoá cũ, thêm mới)</t>
  </si>
  <si>
    <t>LTH_003.006</t>
  </si>
  <si>
    <t>Không cho sửa lộ trình Đang dùng</t>
  </si>
  <si>
    <t>Lộ trình status = 2</t>
  </si>
  <si>
    <t>1. Thử truy cập /training/learning-path/{id}/edit</t>
  </si>
  <si>
    <t xml:space="preserve">Không hiện nút Sửa trên detail
Nếu vào URL trực tiếp: form ở mode show (read-only) hoặc redirect</t>
  </si>
  <si>
    <t>LTH_003.007</t>
  </si>
  <si>
    <t>Không cho sửa lộ trình Khoá</t>
  </si>
  <si>
    <t>Lộ trình status = 3</t>
  </si>
  <si>
    <t>1. Thử truy cập edit</t>
  </si>
  <si>
    <t>Tương tự: form read-only hoặc redirect</t>
  </si>
  <si>
    <t>IV. XEM CHI TIẾT (/training/learning-path/{id})</t>
  </si>
  <si>
    <t>LTH_004.001</t>
  </si>
  <si>
    <t>Hiển thị đầy đủ thông tin 4 tab (read-only)</t>
  </si>
  <si>
    <t>Lộ trình có đầy đủ data</t>
  </si>
  <si>
    <t>1. Vào /training/learning-path/{id}</t>
  </si>
  <si>
    <t xml:space="preserve">Tất cả tab hiện đúng data
Không có field editable
Tab subjects hiện danh sách khoá kèm lessons + exams</t>
  </si>
  <si>
    <t>LTH_004.002</t>
  </si>
  <si>
    <t>Nút Sửa chỉ hiện cho Nháp</t>
  </si>
  <si>
    <t>1. Quan sát nút hành động</t>
  </si>
  <si>
    <t xml:space="preserve">Nút "Sửa" hiện ở trang chi tiết
Lộ trình Đang dùng/Khoá: nút Sửa ẩn</t>
  </si>
  <si>
    <t>LTH_004.003</t>
  </si>
  <si>
    <t>Hiển thị danh sách khoá + bài học lồng nhau</t>
  </si>
  <si>
    <t>Lộ trình có 3 khoá, mỗi khoá có lessons + exams</t>
  </si>
  <si>
    <t>1. Xem tab Thông tin</t>
  </si>
  <si>
    <t xml:space="preserve">Mỗi khoá hiện: tên, bắt buộc/tuỳ chọn, ghi chú
Mỗi khoá expand ra danh sách lessons + exams</t>
  </si>
  <si>
    <t>LTH_004.004</t>
  </si>
  <si>
    <t>Hiển thị thông tin người tạo + cập nhật</t>
  </si>
  <si>
    <t>1. Xem phần footer/meta</t>
  </si>
  <si>
    <t>Hiện: Người tạo + thời gian, Người cập nhật + thời gian</t>
  </si>
  <si>
    <t>LTH_004.005</t>
  </si>
  <si>
    <t>Lộ trình không tồn tại → 404</t>
  </si>
  <si>
    <t>id = 99999 không tồn tại</t>
  </si>
  <si>
    <t>1. Mở /training/learning-path/99999</t>
  </si>
  <si>
    <t>Hiển thị 404 hoặc báo "Lộ trình không tồn tại"</t>
  </si>
  <si>
    <t>V. XOÁ LỘ TRÌNH HỌC</t>
  </si>
  <si>
    <t>LTH_005.001</t>
  </si>
  <si>
    <t>Xoá lộ trình Nháp thành công</t>
  </si>
  <si>
    <t>Lộ trình status = 1</t>
  </si>
  <si>
    <t xml:space="preserve">1. Click icon Xoá
2. Modal xác nhận hiện
3. Confirm</t>
  </si>
  <si>
    <t xml:space="preserve">Lộ trình bị xoá
Related subjects + assignees cũng bị xoá
Toast: "Xoá lộ trình học thành công"</t>
  </si>
  <si>
    <t>LTH_005.002</t>
  </si>
  <si>
    <t>Xoá lộ trình Đang dùng → bị chặn</t>
  </si>
  <si>
    <t>1. Gọi API DELETE /training/learning-paths/{id}</t>
  </si>
  <si>
    <t xml:space="preserve">API trả 400: "Chỉ xoá được lộ trình ở trạng thái Nháp"
FE không hiện nút Xoá</t>
  </si>
  <si>
    <t>LTH_005.003</t>
  </si>
  <si>
    <t>Xoá lộ trình Khoá → bị chặn</t>
  </si>
  <si>
    <t>API trả 400: "Chỉ xoá được lộ trình ở trạng thái Nháp"</t>
  </si>
  <si>
    <t>LTH_005.004</t>
  </si>
  <si>
    <t>Huỷ modal xác nhận xoá</t>
  </si>
  <si>
    <t>Click Xoá, modal hiện</t>
  </si>
  <si>
    <t>1. Click "Huỷ" trên modal</t>
  </si>
  <si>
    <t>Modal đóng, lộ trình vẫn còn</t>
  </si>
  <si>
    <t>VI. API - VALIDATION &amp; SECURITY</t>
  </si>
  <si>
    <t>LTH_006.001</t>
  </si>
  <si>
    <t>API store - thiếu name → 422</t>
  </si>
  <si>
    <t>1. POST /training/learning-paths body thiếu name</t>
  </si>
  <si>
    <t>Response 422: name is required</t>
  </si>
  <si>
    <t>LTH_006.002</t>
  </si>
  <si>
    <t>API store - status invalid → 422</t>
  </si>
  <si>
    <t>1. POST body status = 5</t>
  </si>
  <si>
    <t>status = 5</t>
  </si>
  <si>
    <t>Response 422: status must be in 1,2,3</t>
  </si>
  <si>
    <t>LTH_006.003</t>
  </si>
  <si>
    <t>API store - result_rule invalid → 422</t>
  </si>
  <si>
    <t>1. POST body result_rule = "INVALID"</t>
  </si>
  <si>
    <t>Response 422: result_rule invalid</t>
  </si>
  <si>
    <t>LTH_006.004</t>
  </si>
  <si>
    <t>API store - MIN_PERCENT thiếu percent → 422</t>
  </si>
  <si>
    <t>1. POST body result_rule = MIN_PERCENT, không có result_min_pass_percent</t>
  </si>
  <si>
    <t>Response 422: required_if validation fail</t>
  </si>
  <si>
    <t>LTH_006.005</t>
  </si>
  <si>
    <t>API store - subjects.*.subject_id bắt buộc</t>
  </si>
  <si>
    <t>1. POST body subjects = [{"sort_order": 1}]</t>
  </si>
  <si>
    <t>Response 422: subjects.0.subject_id required</t>
  </si>
  <si>
    <t>LTH_006.006</t>
  </si>
  <si>
    <t>API store - assignees.*.assignee_type phải in:department,position,capability</t>
  </si>
  <si>
    <t>1. POST body assignees = [{"assignee_type": "invalid", "assignee_id": 1, "assignment_mode": "mandatory"}]</t>
  </si>
  <si>
    <t>Response 422: assignee_type invalid</t>
  </si>
  <si>
    <t>LTH_006.007</t>
  </si>
  <si>
    <t>API store - assignees.*.assignment_mode phải in:mandatory,recommended</t>
  </si>
  <si>
    <t>1. POST body assignees = [{"assignee_type": "department", "assignee_id": 1, "assignment_mode": "optional"}]</t>
  </si>
  <si>
    <t>Response 422: assignment_mode invalid</t>
  </si>
  <si>
    <t>LTH_006.008</t>
  </si>
  <si>
    <t>API store - training_type_id không tồn tại → 422</t>
  </si>
  <si>
    <t>1. POST body training_type_id = 99999</t>
  </si>
  <si>
    <t>Response 422: training_type_id not exists</t>
  </si>
  <si>
    <t>LTH_006.009</t>
  </si>
  <si>
    <t>API getAll - chỉ trả lộ trình Active</t>
  </si>
  <si>
    <t>Có lộ trình Nháp + Active + Khoá</t>
  </si>
  <si>
    <t>1. GET /training/learning-paths/getAll</t>
  </si>
  <si>
    <t xml:space="preserve">Response chỉ chứa lộ trình status = 2
Dùng cho dropdown chọn lộ trình ở nơi khác</t>
  </si>
  <si>
    <t>LTH_006.010</t>
  </si>
  <si>
    <t>API getNextCode trả code format đúng</t>
  </si>
  <si>
    <t>1. GET /training/learning-paths/get-next-code</t>
  </si>
  <si>
    <t xml:space="preserve">Response: {"code": "LP-2026-XXXXX"}
Code match regex ^LP-\d{4}-\d{5}$</t>
  </si>
  <si>
    <t>LTH_006.011</t>
  </si>
  <si>
    <t>API toggleLock - lộ trình Active → 400</t>
  </si>
  <si>
    <t>1. POST /training/learning-paths/{id}/toggle-lock</t>
  </si>
  <si>
    <t>Response 400: "Lộ trình đang dùng, không thể khoá"</t>
  </si>
  <si>
    <t>LTH_006.012</t>
  </si>
  <si>
    <t>API delete - lộ trình không phải Nháp → 400</t>
  </si>
  <si>
    <t>1. DELETE /training/learning-paths/{id}</t>
  </si>
  <si>
    <t>Response 400: "Chỉ xoá được lộ trình ở trạng thái Nháp"</t>
  </si>
  <si>
    <t>LTH_006.013</t>
  </si>
  <si>
    <t>API - User không có permission → 403</t>
  </si>
  <si>
    <t>User không có quyền "Quản lý lộ trình học"</t>
  </si>
  <si>
    <t>1. Gọi bất kỳ API learning-paths</t>
  </si>
  <si>
    <t>Response 403 Forbidden</t>
  </si>
  <si>
    <t>VII. BUSINESS RULES &amp; LUỒNG E2E</t>
  </si>
  <si>
    <t>LTH_007.001</t>
  </si>
  <si>
    <t>Happy path: Tạo → Kích hoạt → Khoá → Mở khoá</t>
  </si>
  <si>
    <t>User có quyền</t>
  </si>
  <si>
    <t xml:space="preserve">1. Tạo lộ trình Nháp với 3 khoá + 2 assignees
2. Sửa: đổi status = Đang dùng, Lưu
3. Toggle Khoá (thất bại vì Đang dùng)
4. Sửa status về Nháp
5. Toggle Khoá (thành công)
6. Toggle Mở khoá</t>
  </si>
  <si>
    <t xml:space="preserve">Luồng trạng thái: 1 → 2 → (chặn khoá) → 1 → 3 → 1
Mỗi bước toast message đúng</t>
  </si>
  <si>
    <t>LTH_007.002</t>
  </si>
  <si>
    <t>E2E: Tạo đầy đủ với certificate + assignees</t>
  </si>
  <si>
    <t xml:space="preserve">1. Tạo lộ trình: tên, loại ĐT, 5 khoá (3 bắt buộc)
2. Tab Kết quả: MIN_PERCENT 80%
3. Tab Người học: 2 PB mandatory + 1 position recommended
4. Tab Chứng chỉ: upload template + config fields
5. Lưu status = Đang dùng</t>
  </si>
  <si>
    <t xml:space="preserve">Tạo thành công
Xem chi tiết: tất cả data hiện đúng 4 tab</t>
  </si>
  <si>
    <t>LTH_007.003</t>
  </si>
  <si>
    <t>Mã code auto-increment đúng</t>
  </si>
  <si>
    <t xml:space="preserve">1. Tạo lộ trình A → code LP-2026-00001
2. Tạo lộ trình B → code LP-2026-00002
3. Xoá lộ trình A
4. Tạo lộ trình C</t>
  </si>
  <si>
    <t>Code C = LP-2026-00003 (không tái dùng code cũ, dựa trên max id)</t>
  </si>
  <si>
    <t>LTH_007.004</t>
  </si>
  <si>
    <t>Sync subjects: xoá hết → thêm mới khi update</t>
  </si>
  <si>
    <t xml:space="preserve">1. Sửa: xoá hết, thêm 2 khoá khác
2. Lưu
3. Xem chi tiết</t>
  </si>
  <si>
    <t xml:space="preserve">Chỉ hiện 2 khoá mới
Khoá cũ bị xoá khỏi bảng learning_path_subjects</t>
  </si>
  <si>
    <t>LTH_007.005</t>
  </si>
  <si>
    <t>Sync assignees: thay đổi khi update</t>
  </si>
  <si>
    <t xml:space="preserve">1. Sửa: bỏ 1, thêm 3 mới
2. Lưu
3. Xem chi tiết</t>
  </si>
  <si>
    <t xml:space="preserve">Tab Người học hiện 4 assignees (1 cũ + 3 mới)
Bảng learning_path_assignees sync đúng</t>
  </si>
  <si>
    <t>LTH_007.006</t>
  </si>
  <si>
    <t>Xoá lộ trình cascade subjects + assignees</t>
  </si>
  <si>
    <t>Lộ trình Nháp có 3 khoá + 2 assignees</t>
  </si>
  <si>
    <t xml:space="preserve">1. Xoá lộ trình
2. Kiểm tra DB</t>
  </si>
  <si>
    <t xml:space="preserve">Record learning_paths bị xoá
Records learning_path_subjects bị xoá
Records learning_path_assignees bị xoá</t>
  </si>
  <si>
    <t>VIII. EDGE CASES</t>
  </si>
  <si>
    <t>LTH_008.001</t>
  </si>
  <si>
    <t>Tạo lộ trình không có khoá nào (subjects rỗng)</t>
  </si>
  <si>
    <t xml:space="preserve">1. Nhập tên + result_rule
2. Không thêm khoá
3. Lưu</t>
  </si>
  <si>
    <t>subjects = []</t>
  </si>
  <si>
    <t xml:space="preserve">API cho phép (subjects nullable)
Nhưng lộ trình rỗng khoá → cần warning UI hoặc cho phép tuỳ nghiệp vụ</t>
  </si>
  <si>
    <t>LTH_008.002</t>
  </si>
  <si>
    <t>Tạo lộ trình không có assignees</t>
  </si>
  <si>
    <t xml:space="preserve">1. Không thêm assignees
2. Lưu</t>
  </si>
  <si>
    <t>assignees = []</t>
  </si>
  <si>
    <t xml:space="preserve">API cho phép (assignees nullable)
Lộ trình tạo thành công, chưa gán người học</t>
  </si>
  <si>
    <t>LTH_008.003</t>
  </si>
  <si>
    <t>Thêm cùng 1 subject 2 lần</t>
  </si>
  <si>
    <t xml:space="preserve">1. Thêm subject A
2. Thêm subject A lần nữa</t>
  </si>
  <si>
    <t xml:space="preserve">FE chặn: không cho thêm khoá đã có trong list
Hoặc API xử lý deduplicate</t>
  </si>
  <si>
    <t>LTH_008.004</t>
  </si>
  <si>
    <t>admin_note vượt 500 ký tự</t>
  </si>
  <si>
    <t xml:space="preserve">1. Nhập admin_note 501+ ký tự
2. Lưu</t>
  </si>
  <si>
    <t>Chuỗi 510 ký tự</t>
  </si>
  <si>
    <t>API trả 422: admin_note max 500</t>
  </si>
  <si>
    <t>LTH_008.005</t>
  </si>
  <si>
    <t>certificate_template_url quá dài (&gt;500)</t>
  </si>
  <si>
    <t>1. Upload file tạo URL rất dài</t>
  </si>
  <si>
    <t>API trả 422 nếu URL &gt; 500 ký tự</t>
  </si>
  <si>
    <t>LTH_008.006</t>
  </si>
  <si>
    <t>Sort + Filter + Pagination kết hợp</t>
  </si>
  <si>
    <t>&gt;40 lộ trình</t>
  </si>
  <si>
    <t xml:space="preserve">1. Filter status = 1
2. Sort by name asc
3. Chuyển trang 2</t>
  </si>
  <si>
    <t xml:space="preserve">Trang 2 vẫn giữ filter + sort
Dữ liệu nhất quán</t>
  </si>
  <si>
    <t>LTH_008.007</t>
  </si>
  <si>
    <t>subject_id không tồn tại trong hệ thống</t>
  </si>
  <si>
    <t>1. Gọi API subjects = [{"subject_id": 99999, "sort_order": 1}]</t>
  </si>
  <si>
    <t xml:space="preserve">API xử lý lỗi graceful (422 hoặc bỏ qua tuỳ logic)
Không crash server 500</t>
  </si>
  <si>
    <t>LTH_008.008</t>
  </si>
  <si>
    <t>Concurrent update cùng 1 lộ trình</t>
  </si>
  <si>
    <t>2 user mở cùng lộ trình Nháp</t>
  </si>
  <si>
    <t xml:space="preserve">1. User A sửa tên + lưu
2. User B sửa khoá + lưu (gần cùng lúc)</t>
  </si>
  <si>
    <t xml:space="preserve">Cả 2 save thành công
Dữ liệu cuối = save cuối cùng (last-write-wins)
Không crash</t>
  </si>
  <si>
    <t>LTH_008.009</t>
  </si>
  <si>
    <t>Toggle lock cho lộ trình không tồn tại</t>
  </si>
  <si>
    <t>1. POST /training/learning-paths/99999/toggle-lock</t>
  </si>
  <si>
    <t>API trả 404</t>
  </si>
  <si>
    <t>LTH_008.010</t>
  </si>
  <si>
    <t>result_min_pass_percent khi rule không phải MIN_PERCENT</t>
  </si>
  <si>
    <t>1. POST body result_rule = ALL_COURSES, result_min_pass_percent = 80</t>
  </si>
  <si>
    <t xml:space="preserve">API bỏ qua giá trị % (nullable)
Không báo lỗi, nhưng không lưu % vô nghĩa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</si>
</sst>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F4E79"/>
      <sz val="14"/>
    </font>
    <font>
      <sz val="11"/>
    </font>
    <font>
      <b/>
      <color rgb="FFFFFFFF"/>
      <sz val="11"/>
    </font>
    <font>
      <b/>
      <color rgb="FF1F4E79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0" xfId="0" applyFont="1" applyFill="1"/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0"/>
  <sheetFormatPr defaultRowHeight="15" outlineLevelRow="0" outlineLevelCol="0" x14ac:dyDescent="55"/>
  <cols>
    <col min="1" max="1" width="14" customWidth="1"/>
    <col min="2" max="2" width="22" customWidth="1"/>
    <col min="3" max="3" width="16" customWidth="1"/>
    <col min="4" max="4" width="40" customWidth="1"/>
    <col min="5" max="5" width="10" customWidth="1"/>
    <col min="6" max="6" width="30" customWidth="1"/>
    <col min="7" max="7" width="55" customWidth="1"/>
    <col min="8" max="8" width="22" customWidth="1"/>
    <col min="9" max="9" width="12" customWidth="1"/>
    <col min="10" max="10" width="60" customWidth="1"/>
    <col min="11" max="11" width="15" customWidth="1"/>
    <col min="12" max="12" width="14" customWidth="1"/>
    <col min="13" max="13" width="15" customWidth="1"/>
  </cols>
  <sheetData>
    <row r="1" spans="1:11" x14ac:dyDescent="0.25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  <c r="J1" s="2" t="s">
        <v>2</v>
      </c>
      <c r="K1" s="2">
        <f>=COUNTIF(L8:L500,"Passed")</f>
      </c>
    </row>
    <row r="2" spans="10:11" x14ac:dyDescent="0.25">
      <c r="J2" s="2" t="s">
        <v>3</v>
      </c>
      <c r="K2" s="2">
        <f>=COUNTIF(L8:L500,"Failed")</f>
      </c>
    </row>
    <row r="3" spans="10:11" x14ac:dyDescent="0.25">
      <c r="J3" s="2" t="s">
        <v>4</v>
      </c>
      <c r="K3" s="2">
        <f>=COUNTIF(L8:L500,"Pending")</f>
      </c>
    </row>
    <row r="4" spans="10:11" x14ac:dyDescent="0.25">
      <c r="J4" s="2" t="s">
        <v>5</v>
      </c>
      <c r="K4" s="2">
        <f>=COUNTIF(L8:L500,"Not Executed")</f>
      </c>
    </row>
    <row r="5" spans="10:11" x14ac:dyDescent="0.25">
      <c r="J5" s="2" t="s">
        <v>6</v>
      </c>
      <c r="K5" s="2">
        <f>=COUNTA(L8:L500)</f>
      </c>
    </row>
    <row r="6" ht="30" customHeight="1" spans="1:13" x14ac:dyDescent="0.25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  <c r="H6" s="3" t="s">
        <v>14</v>
      </c>
      <c r="I6" s="3" t="s">
        <v>14</v>
      </c>
      <c r="J6" s="3" t="s">
        <v>15</v>
      </c>
      <c r="K6" s="3" t="s">
        <v>16</v>
      </c>
      <c r="L6" s="3" t="s">
        <v>17</v>
      </c>
      <c r="M6" s="3" t="s">
        <v>18</v>
      </c>
    </row>
    <row r="7" spans="3:13" x14ac:dyDescent="0.25">
      <c r="C7" s="4" t="s">
        <v>19</v>
      </c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 x14ac:dyDescent="0.25">
      <c r="A8" s="5" t="s">
        <v>20</v>
      </c>
      <c r="B8" s="5" t="s">
        <v>21</v>
      </c>
      <c r="C8" s="5" t="s">
        <v>22</v>
      </c>
      <c r="D8" s="5" t="s">
        <v>23</v>
      </c>
      <c r="E8" s="5" t="s">
        <v>24</v>
      </c>
      <c r="F8" s="5" t="s">
        <v>25</v>
      </c>
      <c r="G8" s="5" t="s">
        <v>26</v>
      </c>
      <c r="H8" s="5" t="s">
        <v>27</v>
      </c>
      <c r="I8" s="5" t="s">
        <v>27</v>
      </c>
      <c r="J8" s="5" t="s">
        <v>28</v>
      </c>
      <c r="K8" s="5" t="s">
        <v>27</v>
      </c>
      <c r="L8" s="5" t="s">
        <v>29</v>
      </c>
      <c r="M8" s="5" t="s">
        <v>27</v>
      </c>
    </row>
    <row r="9" spans="1:13" x14ac:dyDescent="0.25">
      <c r="A9" s="5" t="s">
        <v>20</v>
      </c>
      <c r="B9" s="5" t="s">
        <v>21</v>
      </c>
      <c r="C9" s="5" t="s">
        <v>30</v>
      </c>
      <c r="D9" s="5" t="s">
        <v>31</v>
      </c>
      <c r="E9" s="5" t="s">
        <v>24</v>
      </c>
      <c r="F9" s="5" t="s">
        <v>32</v>
      </c>
      <c r="G9" s="5" t="s">
        <v>33</v>
      </c>
      <c r="H9" s="5" t="s">
        <v>34</v>
      </c>
      <c r="I9" s="5" t="s">
        <v>27</v>
      </c>
      <c r="J9" s="5" t="s">
        <v>35</v>
      </c>
      <c r="K9" s="5" t="s">
        <v>27</v>
      </c>
      <c r="L9" s="5" t="s">
        <v>29</v>
      </c>
      <c r="M9" s="5" t="s">
        <v>27</v>
      </c>
    </row>
    <row r="10" spans="1:13" x14ac:dyDescent="0.25">
      <c r="A10" s="5" t="s">
        <v>20</v>
      </c>
      <c r="B10" s="5" t="s">
        <v>21</v>
      </c>
      <c r="C10" s="5" t="s">
        <v>36</v>
      </c>
      <c r="D10" s="5" t="s">
        <v>37</v>
      </c>
      <c r="E10" s="5" t="s">
        <v>24</v>
      </c>
      <c r="F10" s="5" t="s">
        <v>38</v>
      </c>
      <c r="G10" s="5" t="s">
        <v>39</v>
      </c>
      <c r="H10" s="5" t="s">
        <v>40</v>
      </c>
      <c r="I10" s="5" t="s">
        <v>27</v>
      </c>
      <c r="J10" s="5" t="s">
        <v>41</v>
      </c>
      <c r="K10" s="5" t="s">
        <v>27</v>
      </c>
      <c r="L10" s="5" t="s">
        <v>29</v>
      </c>
      <c r="M10" s="5" t="s">
        <v>27</v>
      </c>
    </row>
    <row r="11" spans="1:13" x14ac:dyDescent="0.25">
      <c r="A11" s="5" t="s">
        <v>20</v>
      </c>
      <c r="B11" s="5" t="s">
        <v>21</v>
      </c>
      <c r="C11" s="5" t="s">
        <v>42</v>
      </c>
      <c r="D11" s="5" t="s">
        <v>43</v>
      </c>
      <c r="E11" s="5" t="s">
        <v>24</v>
      </c>
      <c r="F11" s="5" t="s">
        <v>44</v>
      </c>
      <c r="G11" s="5" t="s">
        <v>45</v>
      </c>
      <c r="H11" s="5" t="s">
        <v>46</v>
      </c>
      <c r="I11" s="5" t="s">
        <v>27</v>
      </c>
      <c r="J11" s="5" t="s">
        <v>47</v>
      </c>
      <c r="K11" s="5" t="s">
        <v>27</v>
      </c>
      <c r="L11" s="5" t="s">
        <v>29</v>
      </c>
      <c r="M11" s="5" t="s">
        <v>27</v>
      </c>
    </row>
    <row r="12" spans="1:13" x14ac:dyDescent="0.25">
      <c r="A12" s="5" t="s">
        <v>20</v>
      </c>
      <c r="B12" s="5" t="s">
        <v>21</v>
      </c>
      <c r="C12" s="5" t="s">
        <v>48</v>
      </c>
      <c r="D12" s="5" t="s">
        <v>49</v>
      </c>
      <c r="E12" s="5" t="s">
        <v>24</v>
      </c>
      <c r="F12" s="5" t="s">
        <v>50</v>
      </c>
      <c r="G12" s="5" t="s">
        <v>51</v>
      </c>
      <c r="H12" s="5" t="s">
        <v>52</v>
      </c>
      <c r="I12" s="5" t="s">
        <v>27</v>
      </c>
      <c r="J12" s="5" t="s">
        <v>53</v>
      </c>
      <c r="K12" s="5" t="s">
        <v>27</v>
      </c>
      <c r="L12" s="5" t="s">
        <v>29</v>
      </c>
      <c r="M12" s="5" t="s">
        <v>27</v>
      </c>
    </row>
    <row r="13" spans="1:13" x14ac:dyDescent="0.25">
      <c r="A13" s="5" t="s">
        <v>20</v>
      </c>
      <c r="B13" s="5" t="s">
        <v>21</v>
      </c>
      <c r="C13" s="5" t="s">
        <v>54</v>
      </c>
      <c r="D13" s="5" t="s">
        <v>55</v>
      </c>
      <c r="E13" s="5" t="s">
        <v>24</v>
      </c>
      <c r="F13" s="5" t="s">
        <v>56</v>
      </c>
      <c r="G13" s="5" t="s">
        <v>57</v>
      </c>
      <c r="H13" s="5" t="s">
        <v>58</v>
      </c>
      <c r="I13" s="5" t="s">
        <v>27</v>
      </c>
      <c r="J13" s="5" t="s">
        <v>59</v>
      </c>
      <c r="K13" s="5" t="s">
        <v>27</v>
      </c>
      <c r="L13" s="5" t="s">
        <v>29</v>
      </c>
      <c r="M13" s="5" t="s">
        <v>27</v>
      </c>
    </row>
    <row r="14" spans="1:13" x14ac:dyDescent="0.25">
      <c r="A14" s="5" t="s">
        <v>20</v>
      </c>
      <c r="B14" s="5" t="s">
        <v>21</v>
      </c>
      <c r="C14" s="5" t="s">
        <v>60</v>
      </c>
      <c r="D14" s="5" t="s">
        <v>61</v>
      </c>
      <c r="E14" s="5" t="s">
        <v>62</v>
      </c>
      <c r="F14" s="5" t="s">
        <v>63</v>
      </c>
      <c r="G14" s="5" t="s">
        <v>64</v>
      </c>
      <c r="H14" s="5" t="s">
        <v>65</v>
      </c>
      <c r="I14" s="5" t="s">
        <v>27</v>
      </c>
      <c r="J14" s="5" t="s">
        <v>66</v>
      </c>
      <c r="K14" s="5" t="s">
        <v>27</v>
      </c>
      <c r="L14" s="5" t="s">
        <v>29</v>
      </c>
      <c r="M14" s="5" t="s">
        <v>27</v>
      </c>
    </row>
    <row r="15" spans="1:13" x14ac:dyDescent="0.25">
      <c r="A15" s="5" t="s">
        <v>20</v>
      </c>
      <c r="B15" s="5" t="s">
        <v>21</v>
      </c>
      <c r="C15" s="5" t="s">
        <v>67</v>
      </c>
      <c r="D15" s="5" t="s">
        <v>68</v>
      </c>
      <c r="E15" s="5" t="s">
        <v>62</v>
      </c>
      <c r="F15" s="5" t="s">
        <v>69</v>
      </c>
      <c r="G15" s="5" t="s">
        <v>70</v>
      </c>
      <c r="H15" s="5" t="s">
        <v>71</v>
      </c>
      <c r="I15" s="5" t="s">
        <v>27</v>
      </c>
      <c r="J15" s="5" t="s">
        <v>72</v>
      </c>
      <c r="K15" s="5" t="s">
        <v>27</v>
      </c>
      <c r="L15" s="5" t="s">
        <v>29</v>
      </c>
      <c r="M15" s="5" t="s">
        <v>27</v>
      </c>
    </row>
    <row r="16" spans="1:13" x14ac:dyDescent="0.25">
      <c r="A16" s="5" t="s">
        <v>20</v>
      </c>
      <c r="B16" s="5" t="s">
        <v>21</v>
      </c>
      <c r="C16" s="5" t="s">
        <v>73</v>
      </c>
      <c r="D16" s="5" t="s">
        <v>74</v>
      </c>
      <c r="E16" s="5" t="s">
        <v>62</v>
      </c>
      <c r="F16" s="5" t="s">
        <v>75</v>
      </c>
      <c r="G16" s="5" t="s">
        <v>76</v>
      </c>
      <c r="H16" s="5" t="s">
        <v>77</v>
      </c>
      <c r="I16" s="5" t="s">
        <v>27</v>
      </c>
      <c r="J16" s="5" t="s">
        <v>78</v>
      </c>
      <c r="K16" s="5" t="s">
        <v>27</v>
      </c>
      <c r="L16" s="5" t="s">
        <v>29</v>
      </c>
      <c r="M16" s="5" t="s">
        <v>27</v>
      </c>
    </row>
    <row r="17" spans="1:13" x14ac:dyDescent="0.25">
      <c r="A17" s="5" t="s">
        <v>20</v>
      </c>
      <c r="B17" s="5" t="s">
        <v>21</v>
      </c>
      <c r="C17" s="5" t="s">
        <v>79</v>
      </c>
      <c r="D17" s="5" t="s">
        <v>80</v>
      </c>
      <c r="E17" s="5" t="s">
        <v>62</v>
      </c>
      <c r="F17" s="5" t="s">
        <v>81</v>
      </c>
      <c r="G17" s="5" t="s">
        <v>82</v>
      </c>
      <c r="H17" s="5" t="s">
        <v>83</v>
      </c>
      <c r="I17" s="5" t="s">
        <v>27</v>
      </c>
      <c r="J17" s="5" t="s">
        <v>84</v>
      </c>
      <c r="K17" s="5" t="s">
        <v>27</v>
      </c>
      <c r="L17" s="5" t="s">
        <v>29</v>
      </c>
      <c r="M17" s="5" t="s">
        <v>27</v>
      </c>
    </row>
    <row r="18" spans="1:13" x14ac:dyDescent="0.25">
      <c r="A18" s="5" t="s">
        <v>20</v>
      </c>
      <c r="B18" s="5" t="s">
        <v>21</v>
      </c>
      <c r="C18" s="5" t="s">
        <v>85</v>
      </c>
      <c r="D18" s="5" t="s">
        <v>86</v>
      </c>
      <c r="E18" s="5" t="s">
        <v>62</v>
      </c>
      <c r="F18" s="5" t="s">
        <v>87</v>
      </c>
      <c r="G18" s="5" t="s">
        <v>88</v>
      </c>
      <c r="H18" s="5" t="s">
        <v>27</v>
      </c>
      <c r="I18" s="5" t="s">
        <v>27</v>
      </c>
      <c r="J18" s="5" t="s">
        <v>89</v>
      </c>
      <c r="K18" s="5" t="s">
        <v>27</v>
      </c>
      <c r="L18" s="5" t="s">
        <v>29</v>
      </c>
      <c r="M18" s="5" t="s">
        <v>27</v>
      </c>
    </row>
    <row r="19" spans="1:13" x14ac:dyDescent="0.25">
      <c r="A19" s="5" t="s">
        <v>20</v>
      </c>
      <c r="B19" s="5" t="s">
        <v>21</v>
      </c>
      <c r="C19" s="5" t="s">
        <v>90</v>
      </c>
      <c r="D19" s="5" t="s">
        <v>91</v>
      </c>
      <c r="E19" s="5" t="s">
        <v>62</v>
      </c>
      <c r="F19" s="5" t="s">
        <v>92</v>
      </c>
      <c r="G19" s="5" t="s">
        <v>93</v>
      </c>
      <c r="H19" s="5" t="s">
        <v>27</v>
      </c>
      <c r="I19" s="5" t="s">
        <v>27</v>
      </c>
      <c r="J19" s="5" t="s">
        <v>94</v>
      </c>
      <c r="K19" s="5" t="s">
        <v>27</v>
      </c>
      <c r="L19" s="5" t="s">
        <v>29</v>
      </c>
      <c r="M19" s="5" t="s">
        <v>27</v>
      </c>
    </row>
    <row r="20" spans="1:13" x14ac:dyDescent="0.25">
      <c r="A20" s="5" t="s">
        <v>20</v>
      </c>
      <c r="B20" s="5" t="s">
        <v>21</v>
      </c>
      <c r="C20" s="5" t="s">
        <v>95</v>
      </c>
      <c r="D20" s="5" t="s">
        <v>96</v>
      </c>
      <c r="E20" s="5" t="s">
        <v>62</v>
      </c>
      <c r="F20" s="5" t="s">
        <v>75</v>
      </c>
      <c r="G20" s="5" t="s">
        <v>97</v>
      </c>
      <c r="H20" s="5" t="s">
        <v>27</v>
      </c>
      <c r="I20" s="5" t="s">
        <v>27</v>
      </c>
      <c r="J20" s="5" t="s">
        <v>98</v>
      </c>
      <c r="K20" s="5" t="s">
        <v>27</v>
      </c>
      <c r="L20" s="5" t="s">
        <v>29</v>
      </c>
      <c r="M20" s="5" t="s">
        <v>27</v>
      </c>
    </row>
    <row r="21" spans="1:13" x14ac:dyDescent="0.25">
      <c r="A21" s="5" t="s">
        <v>20</v>
      </c>
      <c r="B21" s="5" t="s">
        <v>21</v>
      </c>
      <c r="C21" s="5" t="s">
        <v>99</v>
      </c>
      <c r="D21" s="5" t="s">
        <v>100</v>
      </c>
      <c r="E21" s="5" t="s">
        <v>62</v>
      </c>
      <c r="F21" s="5" t="s">
        <v>75</v>
      </c>
      <c r="G21" s="5" t="s">
        <v>101</v>
      </c>
      <c r="H21" s="5" t="s">
        <v>27</v>
      </c>
      <c r="I21" s="5" t="s">
        <v>27</v>
      </c>
      <c r="J21" s="5" t="s">
        <v>102</v>
      </c>
      <c r="K21" s="5" t="s">
        <v>27</v>
      </c>
      <c r="L21" s="5" t="s">
        <v>29</v>
      </c>
      <c r="M21" s="5" t="s">
        <v>27</v>
      </c>
    </row>
    <row r="22" spans="1:13" x14ac:dyDescent="0.25">
      <c r="A22" s="5" t="s">
        <v>20</v>
      </c>
      <c r="B22" s="5" t="s">
        <v>21</v>
      </c>
      <c r="C22" s="5" t="s">
        <v>103</v>
      </c>
      <c r="D22" s="5" t="s">
        <v>104</v>
      </c>
      <c r="E22" s="5" t="s">
        <v>62</v>
      </c>
      <c r="F22" s="5" t="s">
        <v>105</v>
      </c>
      <c r="G22" s="5" t="s">
        <v>106</v>
      </c>
      <c r="H22" s="5" t="s">
        <v>27</v>
      </c>
      <c r="I22" s="5" t="s">
        <v>27</v>
      </c>
      <c r="J22" s="5" t="s">
        <v>107</v>
      </c>
      <c r="K22" s="5" t="s">
        <v>27</v>
      </c>
      <c r="L22" s="5" t="s">
        <v>29</v>
      </c>
      <c r="M22" s="5" t="s">
        <v>27</v>
      </c>
    </row>
    <row r="23" spans="1:13" x14ac:dyDescent="0.25">
      <c r="A23" s="5" t="s">
        <v>20</v>
      </c>
      <c r="B23" s="5" t="s">
        <v>21</v>
      </c>
      <c r="C23" s="5" t="s">
        <v>108</v>
      </c>
      <c r="D23" s="5" t="s">
        <v>109</v>
      </c>
      <c r="E23" s="5" t="s">
        <v>62</v>
      </c>
      <c r="F23" s="5" t="s">
        <v>110</v>
      </c>
      <c r="G23" s="5" t="s">
        <v>111</v>
      </c>
      <c r="H23" s="5" t="s">
        <v>27</v>
      </c>
      <c r="I23" s="5" t="s">
        <v>27</v>
      </c>
      <c r="J23" s="5" t="s">
        <v>112</v>
      </c>
      <c r="K23" s="5" t="s">
        <v>27</v>
      </c>
      <c r="L23" s="5" t="s">
        <v>29</v>
      </c>
      <c r="M23" s="5" t="s">
        <v>27</v>
      </c>
    </row>
    <row r="24" spans="1:13" x14ac:dyDescent="0.25">
      <c r="A24" s="5" t="s">
        <v>20</v>
      </c>
      <c r="B24" s="5" t="s">
        <v>21</v>
      </c>
      <c r="C24" s="5" t="s">
        <v>113</v>
      </c>
      <c r="D24" s="5" t="s">
        <v>114</v>
      </c>
      <c r="E24" s="5" t="s">
        <v>24</v>
      </c>
      <c r="F24" s="5" t="s">
        <v>115</v>
      </c>
      <c r="G24" s="5" t="s">
        <v>116</v>
      </c>
      <c r="H24" s="5" t="s">
        <v>27</v>
      </c>
      <c r="I24" s="5" t="s">
        <v>27</v>
      </c>
      <c r="J24" s="5" t="s">
        <v>117</v>
      </c>
      <c r="K24" s="5" t="s">
        <v>27</v>
      </c>
      <c r="L24" s="5" t="s">
        <v>29</v>
      </c>
      <c r="M24" s="5" t="s">
        <v>27</v>
      </c>
    </row>
    <row r="25" spans="1:13" x14ac:dyDescent="0.25">
      <c r="A25" s="5" t="s">
        <v>20</v>
      </c>
      <c r="B25" s="5" t="s">
        <v>21</v>
      </c>
      <c r="C25" s="5" t="s">
        <v>118</v>
      </c>
      <c r="D25" s="5" t="s">
        <v>119</v>
      </c>
      <c r="E25" s="5" t="s">
        <v>24</v>
      </c>
      <c r="F25" s="5" t="s">
        <v>120</v>
      </c>
      <c r="G25" s="5" t="s">
        <v>121</v>
      </c>
      <c r="H25" s="5" t="s">
        <v>27</v>
      </c>
      <c r="I25" s="5" t="s">
        <v>27</v>
      </c>
      <c r="J25" s="5" t="s">
        <v>122</v>
      </c>
      <c r="K25" s="5" t="s">
        <v>27</v>
      </c>
      <c r="L25" s="5" t="s">
        <v>29</v>
      </c>
      <c r="M25" s="5" t="s">
        <v>27</v>
      </c>
    </row>
    <row r="26" spans="1:13" x14ac:dyDescent="0.25">
      <c r="A26" s="5" t="s">
        <v>20</v>
      </c>
      <c r="B26" s="5" t="s">
        <v>21</v>
      </c>
      <c r="C26" s="5" t="s">
        <v>123</v>
      </c>
      <c r="D26" s="5" t="s">
        <v>124</v>
      </c>
      <c r="E26" s="5" t="s">
        <v>24</v>
      </c>
      <c r="F26" s="5" t="s">
        <v>125</v>
      </c>
      <c r="G26" s="5" t="s">
        <v>126</v>
      </c>
      <c r="H26" s="5" t="s">
        <v>127</v>
      </c>
      <c r="I26" s="5" t="s">
        <v>27</v>
      </c>
      <c r="J26" s="5" t="s">
        <v>128</v>
      </c>
      <c r="K26" s="5" t="s">
        <v>27</v>
      </c>
      <c r="L26" s="5" t="s">
        <v>29</v>
      </c>
      <c r="M26" s="5" t="s">
        <v>27</v>
      </c>
    </row>
    <row r="27" spans="1:13" x14ac:dyDescent="0.25">
      <c r="A27" s="5" t="s">
        <v>20</v>
      </c>
      <c r="B27" s="5" t="s">
        <v>21</v>
      </c>
      <c r="C27" s="5" t="s">
        <v>129</v>
      </c>
      <c r="D27" s="5" t="s">
        <v>130</v>
      </c>
      <c r="E27" s="5" t="s">
        <v>24</v>
      </c>
      <c r="F27" s="5" t="s">
        <v>131</v>
      </c>
      <c r="G27" s="5" t="s">
        <v>132</v>
      </c>
      <c r="H27" s="5" t="s">
        <v>27</v>
      </c>
      <c r="I27" s="5" t="s">
        <v>27</v>
      </c>
      <c r="J27" s="5" t="s">
        <v>133</v>
      </c>
      <c r="K27" s="5" t="s">
        <v>27</v>
      </c>
      <c r="L27" s="5" t="s">
        <v>29</v>
      </c>
      <c r="M27" s="5" t="s">
        <v>27</v>
      </c>
    </row>
    <row r="28" spans="1:13" x14ac:dyDescent="0.25">
      <c r="A28" s="5" t="s">
        <v>20</v>
      </c>
      <c r="B28" s="5" t="s">
        <v>21</v>
      </c>
      <c r="C28" s="5" t="s">
        <v>134</v>
      </c>
      <c r="D28" s="5" t="s">
        <v>135</v>
      </c>
      <c r="E28" s="5" t="s">
        <v>24</v>
      </c>
      <c r="F28" s="5" t="s">
        <v>136</v>
      </c>
      <c r="G28" s="5" t="s">
        <v>137</v>
      </c>
      <c r="H28" s="5" t="s">
        <v>27</v>
      </c>
      <c r="I28" s="5" t="s">
        <v>27</v>
      </c>
      <c r="J28" s="5" t="s">
        <v>138</v>
      </c>
      <c r="K28" s="5" t="s">
        <v>27</v>
      </c>
      <c r="L28" s="5" t="s">
        <v>29</v>
      </c>
      <c r="M28" s="5" t="s">
        <v>27</v>
      </c>
    </row>
    <row r="29" spans="1:13" x14ac:dyDescent="0.25">
      <c r="A29" s="5" t="s">
        <v>20</v>
      </c>
      <c r="B29" s="5" t="s">
        <v>21</v>
      </c>
      <c r="C29" s="5" t="s">
        <v>139</v>
      </c>
      <c r="D29" s="5" t="s">
        <v>140</v>
      </c>
      <c r="E29" s="5" t="s">
        <v>24</v>
      </c>
      <c r="F29" s="5" t="s">
        <v>141</v>
      </c>
      <c r="G29" s="5" t="s">
        <v>142</v>
      </c>
      <c r="H29" s="5" t="s">
        <v>27</v>
      </c>
      <c r="I29" s="5" t="s">
        <v>27</v>
      </c>
      <c r="J29" s="5" t="s">
        <v>143</v>
      </c>
      <c r="K29" s="5" t="s">
        <v>27</v>
      </c>
      <c r="L29" s="5" t="s">
        <v>29</v>
      </c>
      <c r="M29" s="5" t="s">
        <v>27</v>
      </c>
    </row>
    <row r="30" spans="1:13" x14ac:dyDescent="0.25">
      <c r="A30" s="5" t="s">
        <v>20</v>
      </c>
      <c r="B30" s="5" t="s">
        <v>21</v>
      </c>
      <c r="C30" s="5" t="s">
        <v>144</v>
      </c>
      <c r="D30" s="5" t="s">
        <v>145</v>
      </c>
      <c r="E30" s="5" t="s">
        <v>24</v>
      </c>
      <c r="F30" s="5" t="s">
        <v>146</v>
      </c>
      <c r="G30" s="5" t="s">
        <v>147</v>
      </c>
      <c r="H30" s="5" t="s">
        <v>27</v>
      </c>
      <c r="I30" s="5" t="s">
        <v>27</v>
      </c>
      <c r="J30" s="5" t="s">
        <v>148</v>
      </c>
      <c r="K30" s="5" t="s">
        <v>27</v>
      </c>
      <c r="L30" s="5" t="s">
        <v>29</v>
      </c>
      <c r="M30" s="5" t="s">
        <v>27</v>
      </c>
    </row>
    <row r="31" spans="3:13" x14ac:dyDescent="0.25">
      <c r="C31" s="4" t="s">
        <v>149</v>
      </c>
      <c r="D31" s="4"/>
      <c r="E31" s="4"/>
      <c r="F31" s="4"/>
      <c r="G31" s="4"/>
      <c r="H31" s="4"/>
      <c r="I31" s="4"/>
      <c r="J31" s="4"/>
      <c r="K31" s="4"/>
      <c r="L31" s="4"/>
      <c r="M31" s="4"/>
    </row>
    <row r="32" spans="1:13" x14ac:dyDescent="0.25">
      <c r="A32" s="5" t="s">
        <v>20</v>
      </c>
      <c r="B32" s="5" t="s">
        <v>21</v>
      </c>
      <c r="C32" s="5" t="s">
        <v>150</v>
      </c>
      <c r="D32" s="5" t="s">
        <v>151</v>
      </c>
      <c r="E32" s="5" t="s">
        <v>24</v>
      </c>
      <c r="F32" s="5" t="s">
        <v>152</v>
      </c>
      <c r="G32" s="5" t="s">
        <v>153</v>
      </c>
      <c r="H32" s="5" t="s">
        <v>27</v>
      </c>
      <c r="I32" s="5" t="s">
        <v>27</v>
      </c>
      <c r="J32" s="5" t="s">
        <v>154</v>
      </c>
      <c r="K32" s="5" t="s">
        <v>27</v>
      </c>
      <c r="L32" s="5" t="s">
        <v>29</v>
      </c>
      <c r="M32" s="5" t="s">
        <v>27</v>
      </c>
    </row>
    <row r="33" spans="1:13" x14ac:dyDescent="0.25">
      <c r="A33" s="5" t="s">
        <v>20</v>
      </c>
      <c r="B33" s="5" t="s">
        <v>21</v>
      </c>
      <c r="C33" s="5" t="s">
        <v>155</v>
      </c>
      <c r="D33" s="5" t="s">
        <v>156</v>
      </c>
      <c r="E33" s="5" t="s">
        <v>24</v>
      </c>
      <c r="F33" s="5" t="s">
        <v>157</v>
      </c>
      <c r="G33" s="5" t="s">
        <v>158</v>
      </c>
      <c r="H33" s="5" t="s">
        <v>27</v>
      </c>
      <c r="I33" s="5" t="s">
        <v>27</v>
      </c>
      <c r="J33" s="5" t="s">
        <v>159</v>
      </c>
      <c r="K33" s="5" t="s">
        <v>27</v>
      </c>
      <c r="L33" s="5" t="s">
        <v>29</v>
      </c>
      <c r="M33" s="5" t="s">
        <v>27</v>
      </c>
    </row>
    <row r="34" spans="1:13" x14ac:dyDescent="0.25">
      <c r="A34" s="5" t="s">
        <v>20</v>
      </c>
      <c r="B34" s="5" t="s">
        <v>21</v>
      </c>
      <c r="C34" s="5" t="s">
        <v>160</v>
      </c>
      <c r="D34" s="5" t="s">
        <v>161</v>
      </c>
      <c r="E34" s="5" t="s">
        <v>24</v>
      </c>
      <c r="F34" s="5" t="s">
        <v>162</v>
      </c>
      <c r="G34" s="5" t="s">
        <v>163</v>
      </c>
      <c r="H34" s="5" t="s">
        <v>27</v>
      </c>
      <c r="I34" s="5" t="s">
        <v>27</v>
      </c>
      <c r="J34" s="5" t="s">
        <v>164</v>
      </c>
      <c r="K34" s="5" t="s">
        <v>27</v>
      </c>
      <c r="L34" s="5" t="s">
        <v>29</v>
      </c>
      <c r="M34" s="5" t="s">
        <v>27</v>
      </c>
    </row>
    <row r="35" spans="1:13" x14ac:dyDescent="0.25">
      <c r="A35" s="5" t="s">
        <v>20</v>
      </c>
      <c r="B35" s="5" t="s">
        <v>21</v>
      </c>
      <c r="C35" s="5" t="s">
        <v>165</v>
      </c>
      <c r="D35" s="5" t="s">
        <v>166</v>
      </c>
      <c r="E35" s="5" t="s">
        <v>62</v>
      </c>
      <c r="F35" s="5" t="s">
        <v>27</v>
      </c>
      <c r="G35" s="5" t="s">
        <v>167</v>
      </c>
      <c r="H35" s="5" t="s">
        <v>168</v>
      </c>
      <c r="I35" s="5" t="s">
        <v>27</v>
      </c>
      <c r="J35" s="5" t="s">
        <v>169</v>
      </c>
      <c r="K35" s="5" t="s">
        <v>27</v>
      </c>
      <c r="L35" s="5" t="s">
        <v>29</v>
      </c>
      <c r="M35" s="5" t="s">
        <v>27</v>
      </c>
    </row>
    <row r="36" spans="1:13" x14ac:dyDescent="0.25">
      <c r="A36" s="5" t="s">
        <v>20</v>
      </c>
      <c r="B36" s="5" t="s">
        <v>21</v>
      </c>
      <c r="C36" s="5" t="s">
        <v>170</v>
      </c>
      <c r="D36" s="5" t="s">
        <v>171</v>
      </c>
      <c r="E36" s="5" t="s">
        <v>24</v>
      </c>
      <c r="F36" s="5" t="s">
        <v>172</v>
      </c>
      <c r="G36" s="5" t="s">
        <v>173</v>
      </c>
      <c r="H36" s="5" t="s">
        <v>27</v>
      </c>
      <c r="I36" s="5" t="s">
        <v>27</v>
      </c>
      <c r="J36" s="5" t="s">
        <v>174</v>
      </c>
      <c r="K36" s="5" t="s">
        <v>27</v>
      </c>
      <c r="L36" s="5" t="s">
        <v>29</v>
      </c>
      <c r="M36" s="5" t="s">
        <v>27</v>
      </c>
    </row>
    <row r="37" spans="1:13" x14ac:dyDescent="0.25">
      <c r="A37" s="5" t="s">
        <v>20</v>
      </c>
      <c r="B37" s="5" t="s">
        <v>21</v>
      </c>
      <c r="C37" s="5" t="s">
        <v>175</v>
      </c>
      <c r="D37" s="5" t="s">
        <v>176</v>
      </c>
      <c r="E37" s="5" t="s">
        <v>24</v>
      </c>
      <c r="F37" s="5" t="s">
        <v>157</v>
      </c>
      <c r="G37" s="5" t="s">
        <v>177</v>
      </c>
      <c r="H37" s="5" t="s">
        <v>27</v>
      </c>
      <c r="I37" s="5" t="s">
        <v>27</v>
      </c>
      <c r="J37" s="5" t="s">
        <v>178</v>
      </c>
      <c r="K37" s="5" t="s">
        <v>27</v>
      </c>
      <c r="L37" s="5" t="s">
        <v>29</v>
      </c>
      <c r="M37" s="5" t="s">
        <v>27</v>
      </c>
    </row>
    <row r="38" spans="1:13" x14ac:dyDescent="0.25">
      <c r="A38" s="5" t="s">
        <v>20</v>
      </c>
      <c r="B38" s="5" t="s">
        <v>21</v>
      </c>
      <c r="C38" s="5" t="s">
        <v>179</v>
      </c>
      <c r="D38" s="5" t="s">
        <v>180</v>
      </c>
      <c r="E38" s="5" t="s">
        <v>62</v>
      </c>
      <c r="F38" s="5" t="s">
        <v>27</v>
      </c>
      <c r="G38" s="5" t="s">
        <v>181</v>
      </c>
      <c r="H38" s="5" t="s">
        <v>27</v>
      </c>
      <c r="I38" s="5" t="s">
        <v>27</v>
      </c>
      <c r="J38" s="5" t="s">
        <v>182</v>
      </c>
      <c r="K38" s="5" t="s">
        <v>27</v>
      </c>
      <c r="L38" s="5" t="s">
        <v>29</v>
      </c>
      <c r="M38" s="5" t="s">
        <v>27</v>
      </c>
    </row>
    <row r="39" spans="1:13" x14ac:dyDescent="0.25">
      <c r="A39" s="5" t="s">
        <v>20</v>
      </c>
      <c r="B39" s="5" t="s">
        <v>21</v>
      </c>
      <c r="C39" s="5" t="s">
        <v>183</v>
      </c>
      <c r="D39" s="5" t="s">
        <v>184</v>
      </c>
      <c r="E39" s="5" t="s">
        <v>62</v>
      </c>
      <c r="F39" s="5" t="s">
        <v>27</v>
      </c>
      <c r="G39" s="5" t="s">
        <v>185</v>
      </c>
      <c r="H39" s="5" t="s">
        <v>27</v>
      </c>
      <c r="I39" s="5" t="s">
        <v>27</v>
      </c>
      <c r="J39" s="5" t="s">
        <v>186</v>
      </c>
      <c r="K39" s="5" t="s">
        <v>27</v>
      </c>
      <c r="L39" s="5" t="s">
        <v>29</v>
      </c>
      <c r="M39" s="5" t="s">
        <v>27</v>
      </c>
    </row>
    <row r="40" spans="1:13" x14ac:dyDescent="0.25">
      <c r="A40" s="5" t="s">
        <v>20</v>
      </c>
      <c r="B40" s="5" t="s">
        <v>21</v>
      </c>
      <c r="C40" s="5" t="s">
        <v>187</v>
      </c>
      <c r="D40" s="5" t="s">
        <v>188</v>
      </c>
      <c r="E40" s="5" t="s">
        <v>62</v>
      </c>
      <c r="F40" s="5" t="s">
        <v>27</v>
      </c>
      <c r="G40" s="5" t="s">
        <v>189</v>
      </c>
      <c r="H40" s="5" t="s">
        <v>190</v>
      </c>
      <c r="I40" s="5" t="s">
        <v>27</v>
      </c>
      <c r="J40" s="5" t="s">
        <v>191</v>
      </c>
      <c r="K40" s="5" t="s">
        <v>27</v>
      </c>
      <c r="L40" s="5" t="s">
        <v>29</v>
      </c>
      <c r="M40" s="5" t="s">
        <v>27</v>
      </c>
    </row>
    <row r="41" spans="1:13" x14ac:dyDescent="0.25">
      <c r="A41" s="5" t="s">
        <v>20</v>
      </c>
      <c r="B41" s="5" t="s">
        <v>21</v>
      </c>
      <c r="C41" s="5" t="s">
        <v>192</v>
      </c>
      <c r="D41" s="5" t="s">
        <v>193</v>
      </c>
      <c r="E41" s="5" t="s">
        <v>24</v>
      </c>
      <c r="F41" s="5" t="s">
        <v>194</v>
      </c>
      <c r="G41" s="5" t="s">
        <v>195</v>
      </c>
      <c r="H41" s="5" t="s">
        <v>27</v>
      </c>
      <c r="I41" s="5" t="s">
        <v>27</v>
      </c>
      <c r="J41" s="5" t="s">
        <v>196</v>
      </c>
      <c r="K41" s="5" t="s">
        <v>27</v>
      </c>
      <c r="L41" s="5" t="s">
        <v>29</v>
      </c>
      <c r="M41" s="5" t="s">
        <v>27</v>
      </c>
    </row>
    <row r="42" spans="1:13" x14ac:dyDescent="0.25">
      <c r="A42" s="5" t="s">
        <v>20</v>
      </c>
      <c r="B42" s="5" t="s">
        <v>21</v>
      </c>
      <c r="C42" s="5" t="s">
        <v>197</v>
      </c>
      <c r="D42" s="5" t="s">
        <v>198</v>
      </c>
      <c r="E42" s="5" t="s">
        <v>24</v>
      </c>
      <c r="F42" s="5" t="s">
        <v>199</v>
      </c>
      <c r="G42" s="5" t="s">
        <v>200</v>
      </c>
      <c r="H42" s="5" t="s">
        <v>27</v>
      </c>
      <c r="I42" s="5" t="s">
        <v>27</v>
      </c>
      <c r="J42" s="5" t="s">
        <v>201</v>
      </c>
      <c r="K42" s="5" t="s">
        <v>27</v>
      </c>
      <c r="L42" s="5" t="s">
        <v>29</v>
      </c>
      <c r="M42" s="5" t="s">
        <v>27</v>
      </c>
    </row>
    <row r="43" spans="1:13" x14ac:dyDescent="0.25">
      <c r="A43" s="5" t="s">
        <v>20</v>
      </c>
      <c r="B43" s="5" t="s">
        <v>21</v>
      </c>
      <c r="C43" s="5" t="s">
        <v>202</v>
      </c>
      <c r="D43" s="5" t="s">
        <v>203</v>
      </c>
      <c r="E43" s="5" t="s">
        <v>62</v>
      </c>
      <c r="F43" s="5" t="s">
        <v>204</v>
      </c>
      <c r="G43" s="5" t="s">
        <v>205</v>
      </c>
      <c r="H43" s="5" t="s">
        <v>206</v>
      </c>
      <c r="I43" s="5" t="s">
        <v>27</v>
      </c>
      <c r="J43" s="5" t="s">
        <v>207</v>
      </c>
      <c r="K43" s="5" t="s">
        <v>27</v>
      </c>
      <c r="L43" s="5" t="s">
        <v>29</v>
      </c>
      <c r="M43" s="5" t="s">
        <v>27</v>
      </c>
    </row>
    <row r="44" spans="1:13" x14ac:dyDescent="0.25">
      <c r="A44" s="5" t="s">
        <v>20</v>
      </c>
      <c r="B44" s="5" t="s">
        <v>21</v>
      </c>
      <c r="C44" s="5" t="s">
        <v>208</v>
      </c>
      <c r="D44" s="5" t="s">
        <v>209</v>
      </c>
      <c r="E44" s="5" t="s">
        <v>62</v>
      </c>
      <c r="F44" s="5" t="s">
        <v>204</v>
      </c>
      <c r="G44" s="5" t="s">
        <v>210</v>
      </c>
      <c r="H44" s="5" t="s">
        <v>27</v>
      </c>
      <c r="I44" s="5" t="s">
        <v>27</v>
      </c>
      <c r="J44" s="5" t="s">
        <v>211</v>
      </c>
      <c r="K44" s="5" t="s">
        <v>27</v>
      </c>
      <c r="L44" s="5" t="s">
        <v>29</v>
      </c>
      <c r="M44" s="5" t="s">
        <v>27</v>
      </c>
    </row>
    <row r="45" spans="1:13" x14ac:dyDescent="0.25">
      <c r="A45" s="5" t="s">
        <v>20</v>
      </c>
      <c r="B45" s="5" t="s">
        <v>21</v>
      </c>
      <c r="C45" s="5" t="s">
        <v>212</v>
      </c>
      <c r="D45" s="5" t="s">
        <v>213</v>
      </c>
      <c r="E45" s="5" t="s">
        <v>24</v>
      </c>
      <c r="F45" s="5" t="s">
        <v>27</v>
      </c>
      <c r="G45" s="5" t="s">
        <v>214</v>
      </c>
      <c r="H45" s="5" t="s">
        <v>65</v>
      </c>
      <c r="I45" s="5" t="s">
        <v>27</v>
      </c>
      <c r="J45" s="5" t="s">
        <v>215</v>
      </c>
      <c r="K45" s="5" t="s">
        <v>27</v>
      </c>
      <c r="L45" s="5" t="s">
        <v>29</v>
      </c>
      <c r="M45" s="5" t="s">
        <v>27</v>
      </c>
    </row>
    <row r="46" spans="1:13" x14ac:dyDescent="0.25">
      <c r="A46" s="5" t="s">
        <v>20</v>
      </c>
      <c r="B46" s="5" t="s">
        <v>21</v>
      </c>
      <c r="C46" s="5" t="s">
        <v>216</v>
      </c>
      <c r="D46" s="5" t="s">
        <v>217</v>
      </c>
      <c r="E46" s="5" t="s">
        <v>24</v>
      </c>
      <c r="F46" s="5" t="s">
        <v>27</v>
      </c>
      <c r="G46" s="5" t="s">
        <v>218</v>
      </c>
      <c r="H46" s="5" t="s">
        <v>219</v>
      </c>
      <c r="I46" s="5" t="s">
        <v>27</v>
      </c>
      <c r="J46" s="5" t="s">
        <v>215</v>
      </c>
      <c r="K46" s="5" t="s">
        <v>27</v>
      </c>
      <c r="L46" s="5" t="s">
        <v>29</v>
      </c>
      <c r="M46" s="5" t="s">
        <v>27</v>
      </c>
    </row>
    <row r="47" spans="1:13" x14ac:dyDescent="0.25">
      <c r="A47" s="5" t="s">
        <v>20</v>
      </c>
      <c r="B47" s="5" t="s">
        <v>21</v>
      </c>
      <c r="C47" s="5" t="s">
        <v>220</v>
      </c>
      <c r="D47" s="5" t="s">
        <v>221</v>
      </c>
      <c r="E47" s="5" t="s">
        <v>24</v>
      </c>
      <c r="F47" s="5" t="s">
        <v>27</v>
      </c>
      <c r="G47" s="5" t="s">
        <v>222</v>
      </c>
      <c r="H47" s="5" t="s">
        <v>223</v>
      </c>
      <c r="I47" s="5" t="s">
        <v>27</v>
      </c>
      <c r="J47" s="5" t="s">
        <v>224</v>
      </c>
      <c r="K47" s="5" t="s">
        <v>27</v>
      </c>
      <c r="L47" s="5" t="s">
        <v>29</v>
      </c>
      <c r="M47" s="5" t="s">
        <v>27</v>
      </c>
    </row>
    <row r="48" spans="1:13" x14ac:dyDescent="0.25">
      <c r="A48" s="5" t="s">
        <v>20</v>
      </c>
      <c r="B48" s="5" t="s">
        <v>21</v>
      </c>
      <c r="C48" s="5" t="s">
        <v>225</v>
      </c>
      <c r="D48" s="5" t="s">
        <v>226</v>
      </c>
      <c r="E48" s="5" t="s">
        <v>24</v>
      </c>
      <c r="F48" s="5" t="s">
        <v>227</v>
      </c>
      <c r="G48" s="5" t="s">
        <v>228</v>
      </c>
      <c r="H48" s="5" t="s">
        <v>27</v>
      </c>
      <c r="I48" s="5" t="s">
        <v>27</v>
      </c>
      <c r="J48" s="5" t="s">
        <v>229</v>
      </c>
      <c r="K48" s="5" t="s">
        <v>27</v>
      </c>
      <c r="L48" s="5" t="s">
        <v>29</v>
      </c>
      <c r="M48" s="5" t="s">
        <v>27</v>
      </c>
    </row>
    <row r="49" spans="1:13" x14ac:dyDescent="0.25">
      <c r="A49" s="5" t="s">
        <v>20</v>
      </c>
      <c r="B49" s="5" t="s">
        <v>21</v>
      </c>
      <c r="C49" s="5" t="s">
        <v>230</v>
      </c>
      <c r="D49" s="5" t="s">
        <v>231</v>
      </c>
      <c r="E49" s="5" t="s">
        <v>62</v>
      </c>
      <c r="F49" s="5" t="s">
        <v>232</v>
      </c>
      <c r="G49" s="5" t="s">
        <v>233</v>
      </c>
      <c r="H49" s="5" t="s">
        <v>27</v>
      </c>
      <c r="I49" s="5" t="s">
        <v>27</v>
      </c>
      <c r="J49" s="5" t="s">
        <v>234</v>
      </c>
      <c r="K49" s="5" t="s">
        <v>27</v>
      </c>
      <c r="L49" s="5" t="s">
        <v>29</v>
      </c>
      <c r="M49" s="5" t="s">
        <v>27</v>
      </c>
    </row>
    <row r="50" spans="1:13" x14ac:dyDescent="0.25">
      <c r="A50" s="5" t="s">
        <v>20</v>
      </c>
      <c r="B50" s="5" t="s">
        <v>21</v>
      </c>
      <c r="C50" s="5" t="s">
        <v>235</v>
      </c>
      <c r="D50" s="5" t="s">
        <v>236</v>
      </c>
      <c r="E50" s="5" t="s">
        <v>24</v>
      </c>
      <c r="F50" s="5" t="s">
        <v>237</v>
      </c>
      <c r="G50" s="5" t="s">
        <v>238</v>
      </c>
      <c r="H50" s="5" t="s">
        <v>239</v>
      </c>
      <c r="I50" s="5" t="s">
        <v>27</v>
      </c>
      <c r="J50" s="5" t="s">
        <v>240</v>
      </c>
      <c r="K50" s="5" t="s">
        <v>27</v>
      </c>
      <c r="L50" s="5" t="s">
        <v>29</v>
      </c>
      <c r="M50" s="5" t="s">
        <v>27</v>
      </c>
    </row>
    <row r="51" spans="1:13" x14ac:dyDescent="0.25">
      <c r="A51" s="5" t="s">
        <v>20</v>
      </c>
      <c r="B51" s="5" t="s">
        <v>21</v>
      </c>
      <c r="C51" s="5" t="s">
        <v>241</v>
      </c>
      <c r="D51" s="5" t="s">
        <v>242</v>
      </c>
      <c r="E51" s="5" t="s">
        <v>24</v>
      </c>
      <c r="F51" s="5" t="s">
        <v>243</v>
      </c>
      <c r="G51" s="5" t="s">
        <v>244</v>
      </c>
      <c r="H51" s="5" t="s">
        <v>245</v>
      </c>
      <c r="I51" s="5" t="s">
        <v>27</v>
      </c>
      <c r="J51" s="5" t="s">
        <v>246</v>
      </c>
      <c r="K51" s="5" t="s">
        <v>27</v>
      </c>
      <c r="L51" s="5" t="s">
        <v>29</v>
      </c>
      <c r="M51" s="5" t="s">
        <v>27</v>
      </c>
    </row>
    <row r="52" spans="1:13" x14ac:dyDescent="0.25">
      <c r="A52" s="5" t="s">
        <v>20</v>
      </c>
      <c r="B52" s="5" t="s">
        <v>21</v>
      </c>
      <c r="C52" s="5" t="s">
        <v>247</v>
      </c>
      <c r="D52" s="5" t="s">
        <v>248</v>
      </c>
      <c r="E52" s="5" t="s">
        <v>62</v>
      </c>
      <c r="F52" s="5" t="s">
        <v>249</v>
      </c>
      <c r="G52" s="5" t="s">
        <v>250</v>
      </c>
      <c r="H52" s="5" t="s">
        <v>251</v>
      </c>
      <c r="I52" s="5" t="s">
        <v>27</v>
      </c>
      <c r="J52" s="5" t="s">
        <v>252</v>
      </c>
      <c r="K52" s="5" t="s">
        <v>27</v>
      </c>
      <c r="L52" s="5" t="s">
        <v>29</v>
      </c>
      <c r="M52" s="5" t="s">
        <v>27</v>
      </c>
    </row>
    <row r="53" spans="1:13" x14ac:dyDescent="0.25">
      <c r="A53" s="5" t="s">
        <v>20</v>
      </c>
      <c r="B53" s="5" t="s">
        <v>21</v>
      </c>
      <c r="C53" s="5" t="s">
        <v>253</v>
      </c>
      <c r="D53" s="5" t="s">
        <v>254</v>
      </c>
      <c r="E53" s="5" t="s">
        <v>62</v>
      </c>
      <c r="F53" s="5" t="s">
        <v>27</v>
      </c>
      <c r="G53" s="5" t="s">
        <v>255</v>
      </c>
      <c r="H53" s="5" t="s">
        <v>256</v>
      </c>
      <c r="I53" s="5" t="s">
        <v>27</v>
      </c>
      <c r="J53" s="5" t="s">
        <v>257</v>
      </c>
      <c r="K53" s="5" t="s">
        <v>27</v>
      </c>
      <c r="L53" s="5" t="s">
        <v>29</v>
      </c>
      <c r="M53" s="5" t="s">
        <v>27</v>
      </c>
    </row>
    <row r="54" spans="1:13" x14ac:dyDescent="0.25">
      <c r="A54" s="5" t="s">
        <v>20</v>
      </c>
      <c r="B54" s="5" t="s">
        <v>21</v>
      </c>
      <c r="C54" s="5" t="s">
        <v>258</v>
      </c>
      <c r="D54" s="5" t="s">
        <v>259</v>
      </c>
      <c r="E54" s="5" t="s">
        <v>62</v>
      </c>
      <c r="F54" s="5" t="s">
        <v>256</v>
      </c>
      <c r="G54" s="5" t="s">
        <v>260</v>
      </c>
      <c r="H54" s="5" t="s">
        <v>27</v>
      </c>
      <c r="I54" s="5" t="s">
        <v>27</v>
      </c>
      <c r="J54" s="5" t="s">
        <v>261</v>
      </c>
      <c r="K54" s="5" t="s">
        <v>27</v>
      </c>
      <c r="L54" s="5" t="s">
        <v>29</v>
      </c>
      <c r="M54" s="5" t="s">
        <v>27</v>
      </c>
    </row>
    <row r="55" spans="1:13" x14ac:dyDescent="0.25">
      <c r="A55" s="5" t="s">
        <v>20</v>
      </c>
      <c r="B55" s="5" t="s">
        <v>21</v>
      </c>
      <c r="C55" s="5" t="s">
        <v>262</v>
      </c>
      <c r="D55" s="5" t="s">
        <v>263</v>
      </c>
      <c r="E55" s="5" t="s">
        <v>264</v>
      </c>
      <c r="F55" s="5" t="s">
        <v>265</v>
      </c>
      <c r="G55" s="5" t="s">
        <v>266</v>
      </c>
      <c r="H55" s="5" t="s">
        <v>27</v>
      </c>
      <c r="I55" s="5" t="s">
        <v>27</v>
      </c>
      <c r="J55" s="5" t="s">
        <v>267</v>
      </c>
      <c r="K55" s="5" t="s">
        <v>27</v>
      </c>
      <c r="L55" s="5" t="s">
        <v>29</v>
      </c>
      <c r="M55" s="5" t="s">
        <v>27</v>
      </c>
    </row>
    <row r="56" spans="1:13" x14ac:dyDescent="0.25">
      <c r="A56" s="5" t="s">
        <v>20</v>
      </c>
      <c r="B56" s="5" t="s">
        <v>21</v>
      </c>
      <c r="C56" s="5" t="s">
        <v>268</v>
      </c>
      <c r="D56" s="5" t="s">
        <v>269</v>
      </c>
      <c r="E56" s="5" t="s">
        <v>264</v>
      </c>
      <c r="F56" s="5" t="s">
        <v>270</v>
      </c>
      <c r="G56" s="5" t="s">
        <v>271</v>
      </c>
      <c r="H56" s="5" t="s">
        <v>27</v>
      </c>
      <c r="I56" s="5" t="s">
        <v>27</v>
      </c>
      <c r="J56" s="5" t="s">
        <v>272</v>
      </c>
      <c r="K56" s="5" t="s">
        <v>27</v>
      </c>
      <c r="L56" s="5" t="s">
        <v>29</v>
      </c>
      <c r="M56" s="5" t="s">
        <v>27</v>
      </c>
    </row>
    <row r="57" spans="1:13" x14ac:dyDescent="0.25">
      <c r="A57" s="5" t="s">
        <v>20</v>
      </c>
      <c r="B57" s="5" t="s">
        <v>21</v>
      </c>
      <c r="C57" s="5" t="s">
        <v>273</v>
      </c>
      <c r="D57" s="5" t="s">
        <v>274</v>
      </c>
      <c r="E57" s="5" t="s">
        <v>24</v>
      </c>
      <c r="F57" s="5" t="s">
        <v>275</v>
      </c>
      <c r="G57" s="5" t="s">
        <v>276</v>
      </c>
      <c r="H57" s="5" t="s">
        <v>27</v>
      </c>
      <c r="I57" s="5" t="s">
        <v>27</v>
      </c>
      <c r="J57" s="5" t="s">
        <v>277</v>
      </c>
      <c r="K57" s="5" t="s">
        <v>27</v>
      </c>
      <c r="L57" s="5" t="s">
        <v>29</v>
      </c>
      <c r="M57" s="5" t="s">
        <v>27</v>
      </c>
    </row>
    <row r="58" spans="1:13" x14ac:dyDescent="0.25">
      <c r="A58" s="5" t="s">
        <v>20</v>
      </c>
      <c r="B58" s="5" t="s">
        <v>21</v>
      </c>
      <c r="C58" s="5" t="s">
        <v>278</v>
      </c>
      <c r="D58" s="5" t="s">
        <v>279</v>
      </c>
      <c r="E58" s="5" t="s">
        <v>24</v>
      </c>
      <c r="F58" s="5" t="s">
        <v>280</v>
      </c>
      <c r="G58" s="5" t="s">
        <v>281</v>
      </c>
      <c r="H58" s="5" t="s">
        <v>52</v>
      </c>
      <c r="I58" s="5" t="s">
        <v>27</v>
      </c>
      <c r="J58" s="5" t="s">
        <v>282</v>
      </c>
      <c r="K58" s="5" t="s">
        <v>27</v>
      </c>
      <c r="L58" s="5" t="s">
        <v>29</v>
      </c>
      <c r="M58" s="5" t="s">
        <v>27</v>
      </c>
    </row>
    <row r="59" spans="1:13" x14ac:dyDescent="0.25">
      <c r="A59" s="5" t="s">
        <v>20</v>
      </c>
      <c r="B59" s="5" t="s">
        <v>21</v>
      </c>
      <c r="C59" s="5" t="s">
        <v>283</v>
      </c>
      <c r="D59" s="5" t="s">
        <v>284</v>
      </c>
      <c r="E59" s="5" t="s">
        <v>24</v>
      </c>
      <c r="F59" s="5" t="s">
        <v>27</v>
      </c>
      <c r="G59" s="5" t="s">
        <v>285</v>
      </c>
      <c r="H59" s="5" t="s">
        <v>27</v>
      </c>
      <c r="I59" s="5" t="s">
        <v>27</v>
      </c>
      <c r="J59" s="5" t="s">
        <v>286</v>
      </c>
      <c r="K59" s="5" t="s">
        <v>27</v>
      </c>
      <c r="L59" s="5" t="s">
        <v>29</v>
      </c>
      <c r="M59" s="5" t="s">
        <v>27</v>
      </c>
    </row>
    <row r="60" spans="3:13" x14ac:dyDescent="0.25">
      <c r="C60" s="4" t="s">
        <v>287</v>
      </c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25">
      <c r="A61" s="5" t="s">
        <v>20</v>
      </c>
      <c r="B61" s="5" t="s">
        <v>21</v>
      </c>
      <c r="C61" s="5" t="s">
        <v>288</v>
      </c>
      <c r="D61" s="5" t="s">
        <v>289</v>
      </c>
      <c r="E61" s="5" t="s">
        <v>24</v>
      </c>
      <c r="F61" s="5" t="s">
        <v>290</v>
      </c>
      <c r="G61" s="5" t="s">
        <v>291</v>
      </c>
      <c r="H61" s="5" t="s">
        <v>27</v>
      </c>
      <c r="I61" s="5" t="s">
        <v>27</v>
      </c>
      <c r="J61" s="5" t="s">
        <v>292</v>
      </c>
      <c r="K61" s="5" t="s">
        <v>27</v>
      </c>
      <c r="L61" s="5" t="s">
        <v>29</v>
      </c>
      <c r="M61" s="5" t="s">
        <v>27</v>
      </c>
    </row>
    <row r="62" spans="1:13" x14ac:dyDescent="0.25">
      <c r="A62" s="5" t="s">
        <v>20</v>
      </c>
      <c r="B62" s="5" t="s">
        <v>21</v>
      </c>
      <c r="C62" s="5" t="s">
        <v>293</v>
      </c>
      <c r="D62" s="5" t="s">
        <v>294</v>
      </c>
      <c r="E62" s="5" t="s">
        <v>24</v>
      </c>
      <c r="F62" s="5" t="s">
        <v>295</v>
      </c>
      <c r="G62" s="5" t="s">
        <v>296</v>
      </c>
      <c r="H62" s="5" t="s">
        <v>27</v>
      </c>
      <c r="I62" s="5" t="s">
        <v>27</v>
      </c>
      <c r="J62" s="5" t="s">
        <v>297</v>
      </c>
      <c r="K62" s="5" t="s">
        <v>27</v>
      </c>
      <c r="L62" s="5" t="s">
        <v>29</v>
      </c>
      <c r="M62" s="5" t="s">
        <v>27</v>
      </c>
    </row>
    <row r="63" spans="1:13" x14ac:dyDescent="0.25">
      <c r="A63" s="5" t="s">
        <v>20</v>
      </c>
      <c r="B63" s="5" t="s">
        <v>21</v>
      </c>
      <c r="C63" s="5" t="s">
        <v>298</v>
      </c>
      <c r="D63" s="5" t="s">
        <v>299</v>
      </c>
      <c r="E63" s="5" t="s">
        <v>24</v>
      </c>
      <c r="F63" s="5" t="s">
        <v>300</v>
      </c>
      <c r="G63" s="5" t="s">
        <v>301</v>
      </c>
      <c r="H63" s="5" t="s">
        <v>27</v>
      </c>
      <c r="I63" s="5" t="s">
        <v>27</v>
      </c>
      <c r="J63" s="5" t="s">
        <v>302</v>
      </c>
      <c r="K63" s="5" t="s">
        <v>27</v>
      </c>
      <c r="L63" s="5" t="s">
        <v>29</v>
      </c>
      <c r="M63" s="5" t="s">
        <v>27</v>
      </c>
    </row>
    <row r="64" spans="1:13" x14ac:dyDescent="0.25">
      <c r="A64" s="5" t="s">
        <v>20</v>
      </c>
      <c r="B64" s="5" t="s">
        <v>21</v>
      </c>
      <c r="C64" s="5" t="s">
        <v>303</v>
      </c>
      <c r="D64" s="5" t="s">
        <v>304</v>
      </c>
      <c r="E64" s="5" t="s">
        <v>62</v>
      </c>
      <c r="F64" s="5" t="s">
        <v>305</v>
      </c>
      <c r="G64" s="5" t="s">
        <v>306</v>
      </c>
      <c r="H64" s="5" t="s">
        <v>27</v>
      </c>
      <c r="I64" s="5" t="s">
        <v>27</v>
      </c>
      <c r="J64" s="5" t="s">
        <v>307</v>
      </c>
      <c r="K64" s="5" t="s">
        <v>27</v>
      </c>
      <c r="L64" s="5" t="s">
        <v>29</v>
      </c>
      <c r="M64" s="5" t="s">
        <v>27</v>
      </c>
    </row>
    <row r="65" spans="1:13" x14ac:dyDescent="0.25">
      <c r="A65" s="5" t="s">
        <v>20</v>
      </c>
      <c r="B65" s="5" t="s">
        <v>21</v>
      </c>
      <c r="C65" s="5" t="s">
        <v>308</v>
      </c>
      <c r="D65" s="5" t="s">
        <v>309</v>
      </c>
      <c r="E65" s="5" t="s">
        <v>62</v>
      </c>
      <c r="F65" s="5" t="s">
        <v>310</v>
      </c>
      <c r="G65" s="5" t="s">
        <v>311</v>
      </c>
      <c r="H65" s="5" t="s">
        <v>27</v>
      </c>
      <c r="I65" s="5" t="s">
        <v>27</v>
      </c>
      <c r="J65" s="5" t="s">
        <v>312</v>
      </c>
      <c r="K65" s="5" t="s">
        <v>27</v>
      </c>
      <c r="L65" s="5" t="s">
        <v>29</v>
      </c>
      <c r="M65" s="5" t="s">
        <v>27</v>
      </c>
    </row>
    <row r="66" spans="1:13" x14ac:dyDescent="0.25">
      <c r="A66" s="5" t="s">
        <v>20</v>
      </c>
      <c r="B66" s="5" t="s">
        <v>21</v>
      </c>
      <c r="C66" s="5" t="s">
        <v>313</v>
      </c>
      <c r="D66" s="5" t="s">
        <v>314</v>
      </c>
      <c r="E66" s="5" t="s">
        <v>24</v>
      </c>
      <c r="F66" s="5" t="s">
        <v>315</v>
      </c>
      <c r="G66" s="5" t="s">
        <v>316</v>
      </c>
      <c r="H66" s="5" t="s">
        <v>27</v>
      </c>
      <c r="I66" s="5" t="s">
        <v>27</v>
      </c>
      <c r="J66" s="5" t="s">
        <v>317</v>
      </c>
      <c r="K66" s="5" t="s">
        <v>27</v>
      </c>
      <c r="L66" s="5" t="s">
        <v>29</v>
      </c>
      <c r="M66" s="5" t="s">
        <v>27</v>
      </c>
    </row>
    <row r="67" spans="1:13" x14ac:dyDescent="0.25">
      <c r="A67" s="5" t="s">
        <v>20</v>
      </c>
      <c r="B67" s="5" t="s">
        <v>21</v>
      </c>
      <c r="C67" s="5" t="s">
        <v>318</v>
      </c>
      <c r="D67" s="5" t="s">
        <v>319</v>
      </c>
      <c r="E67" s="5" t="s">
        <v>24</v>
      </c>
      <c r="F67" s="5" t="s">
        <v>320</v>
      </c>
      <c r="G67" s="5" t="s">
        <v>321</v>
      </c>
      <c r="H67" s="5" t="s">
        <v>27</v>
      </c>
      <c r="I67" s="5" t="s">
        <v>27</v>
      </c>
      <c r="J67" s="5" t="s">
        <v>322</v>
      </c>
      <c r="K67" s="5" t="s">
        <v>27</v>
      </c>
      <c r="L67" s="5" t="s">
        <v>29</v>
      </c>
      <c r="M67" s="5" t="s">
        <v>27</v>
      </c>
    </row>
    <row r="68" spans="3:13" x14ac:dyDescent="0.25">
      <c r="C68" s="4" t="s">
        <v>323</v>
      </c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25">
      <c r="A69" s="5" t="s">
        <v>20</v>
      </c>
      <c r="B69" s="5" t="s">
        <v>21</v>
      </c>
      <c r="C69" s="5" t="s">
        <v>324</v>
      </c>
      <c r="D69" s="5" t="s">
        <v>325</v>
      </c>
      <c r="E69" s="5" t="s">
        <v>24</v>
      </c>
      <c r="F69" s="5" t="s">
        <v>326</v>
      </c>
      <c r="G69" s="5" t="s">
        <v>327</v>
      </c>
      <c r="H69" s="5" t="s">
        <v>27</v>
      </c>
      <c r="I69" s="5" t="s">
        <v>27</v>
      </c>
      <c r="J69" s="5" t="s">
        <v>328</v>
      </c>
      <c r="K69" s="5" t="s">
        <v>27</v>
      </c>
      <c r="L69" s="5" t="s">
        <v>29</v>
      </c>
      <c r="M69" s="5" t="s">
        <v>27</v>
      </c>
    </row>
    <row r="70" spans="1:13" x14ac:dyDescent="0.25">
      <c r="A70" s="5" t="s">
        <v>20</v>
      </c>
      <c r="B70" s="5" t="s">
        <v>21</v>
      </c>
      <c r="C70" s="5" t="s">
        <v>329</v>
      </c>
      <c r="D70" s="5" t="s">
        <v>330</v>
      </c>
      <c r="E70" s="5" t="s">
        <v>24</v>
      </c>
      <c r="F70" s="5" t="s">
        <v>295</v>
      </c>
      <c r="G70" s="5" t="s">
        <v>331</v>
      </c>
      <c r="H70" s="5" t="s">
        <v>27</v>
      </c>
      <c r="I70" s="5" t="s">
        <v>27</v>
      </c>
      <c r="J70" s="5" t="s">
        <v>332</v>
      </c>
      <c r="K70" s="5" t="s">
        <v>27</v>
      </c>
      <c r="L70" s="5" t="s">
        <v>29</v>
      </c>
      <c r="M70" s="5" t="s">
        <v>27</v>
      </c>
    </row>
    <row r="71" spans="1:13" x14ac:dyDescent="0.25">
      <c r="A71" s="5" t="s">
        <v>20</v>
      </c>
      <c r="B71" s="5" t="s">
        <v>21</v>
      </c>
      <c r="C71" s="5" t="s">
        <v>333</v>
      </c>
      <c r="D71" s="5" t="s">
        <v>334</v>
      </c>
      <c r="E71" s="5" t="s">
        <v>24</v>
      </c>
      <c r="F71" s="5" t="s">
        <v>335</v>
      </c>
      <c r="G71" s="5" t="s">
        <v>336</v>
      </c>
      <c r="H71" s="5" t="s">
        <v>27</v>
      </c>
      <c r="I71" s="5" t="s">
        <v>27</v>
      </c>
      <c r="J71" s="5" t="s">
        <v>337</v>
      </c>
      <c r="K71" s="5" t="s">
        <v>27</v>
      </c>
      <c r="L71" s="5" t="s">
        <v>29</v>
      </c>
      <c r="M71" s="5" t="s">
        <v>27</v>
      </c>
    </row>
    <row r="72" spans="1:13" x14ac:dyDescent="0.25">
      <c r="A72" s="5" t="s">
        <v>20</v>
      </c>
      <c r="B72" s="5" t="s">
        <v>21</v>
      </c>
      <c r="C72" s="5" t="s">
        <v>338</v>
      </c>
      <c r="D72" s="5" t="s">
        <v>339</v>
      </c>
      <c r="E72" s="5" t="s">
        <v>62</v>
      </c>
      <c r="F72" s="5" t="s">
        <v>27</v>
      </c>
      <c r="G72" s="5" t="s">
        <v>340</v>
      </c>
      <c r="H72" s="5" t="s">
        <v>27</v>
      </c>
      <c r="I72" s="5" t="s">
        <v>27</v>
      </c>
      <c r="J72" s="5" t="s">
        <v>341</v>
      </c>
      <c r="K72" s="5" t="s">
        <v>27</v>
      </c>
      <c r="L72" s="5" t="s">
        <v>29</v>
      </c>
      <c r="M72" s="5" t="s">
        <v>27</v>
      </c>
    </row>
    <row r="73" spans="1:13" x14ac:dyDescent="0.25">
      <c r="A73" s="5" t="s">
        <v>20</v>
      </c>
      <c r="B73" s="5" t="s">
        <v>21</v>
      </c>
      <c r="C73" s="5" t="s">
        <v>342</v>
      </c>
      <c r="D73" s="5" t="s">
        <v>343</v>
      </c>
      <c r="E73" s="5" t="s">
        <v>62</v>
      </c>
      <c r="F73" s="5" t="s">
        <v>344</v>
      </c>
      <c r="G73" s="5" t="s">
        <v>345</v>
      </c>
      <c r="H73" s="5" t="s">
        <v>27</v>
      </c>
      <c r="I73" s="5" t="s">
        <v>27</v>
      </c>
      <c r="J73" s="5" t="s">
        <v>346</v>
      </c>
      <c r="K73" s="5" t="s">
        <v>27</v>
      </c>
      <c r="L73" s="5" t="s">
        <v>29</v>
      </c>
      <c r="M73" s="5" t="s">
        <v>27</v>
      </c>
    </row>
    <row r="74" spans="3:13" x14ac:dyDescent="0.25">
      <c r="C74" s="4" t="s">
        <v>347</v>
      </c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25">
      <c r="A75" s="5" t="s">
        <v>20</v>
      </c>
      <c r="B75" s="5" t="s">
        <v>21</v>
      </c>
      <c r="C75" s="5" t="s">
        <v>348</v>
      </c>
      <c r="D75" s="5" t="s">
        <v>349</v>
      </c>
      <c r="E75" s="5" t="s">
        <v>24</v>
      </c>
      <c r="F75" s="5" t="s">
        <v>350</v>
      </c>
      <c r="G75" s="5" t="s">
        <v>351</v>
      </c>
      <c r="H75" s="5" t="s">
        <v>27</v>
      </c>
      <c r="I75" s="5" t="s">
        <v>27</v>
      </c>
      <c r="J75" s="5" t="s">
        <v>352</v>
      </c>
      <c r="K75" s="5" t="s">
        <v>27</v>
      </c>
      <c r="L75" s="5" t="s">
        <v>29</v>
      </c>
      <c r="M75" s="5" t="s">
        <v>27</v>
      </c>
    </row>
    <row r="76" spans="1:13" x14ac:dyDescent="0.25">
      <c r="A76" s="5" t="s">
        <v>20</v>
      </c>
      <c r="B76" s="5" t="s">
        <v>21</v>
      </c>
      <c r="C76" s="5" t="s">
        <v>353</v>
      </c>
      <c r="D76" s="5" t="s">
        <v>354</v>
      </c>
      <c r="E76" s="5" t="s">
        <v>24</v>
      </c>
      <c r="F76" s="5" t="s">
        <v>315</v>
      </c>
      <c r="G76" s="5" t="s">
        <v>355</v>
      </c>
      <c r="H76" s="5" t="s">
        <v>27</v>
      </c>
      <c r="I76" s="5" t="s">
        <v>27</v>
      </c>
      <c r="J76" s="5" t="s">
        <v>356</v>
      </c>
      <c r="K76" s="5" t="s">
        <v>27</v>
      </c>
      <c r="L76" s="5" t="s">
        <v>29</v>
      </c>
      <c r="M76" s="5" t="s">
        <v>27</v>
      </c>
    </row>
    <row r="77" spans="1:13" x14ac:dyDescent="0.25">
      <c r="A77" s="5" t="s">
        <v>20</v>
      </c>
      <c r="B77" s="5" t="s">
        <v>21</v>
      </c>
      <c r="C77" s="5" t="s">
        <v>357</v>
      </c>
      <c r="D77" s="5" t="s">
        <v>358</v>
      </c>
      <c r="E77" s="5" t="s">
        <v>24</v>
      </c>
      <c r="F77" s="5" t="s">
        <v>320</v>
      </c>
      <c r="G77" s="5" t="s">
        <v>355</v>
      </c>
      <c r="H77" s="5" t="s">
        <v>27</v>
      </c>
      <c r="I77" s="5" t="s">
        <v>27</v>
      </c>
      <c r="J77" s="5" t="s">
        <v>359</v>
      </c>
      <c r="K77" s="5" t="s">
        <v>27</v>
      </c>
      <c r="L77" s="5" t="s">
        <v>29</v>
      </c>
      <c r="M77" s="5" t="s">
        <v>27</v>
      </c>
    </row>
    <row r="78" spans="1:13" x14ac:dyDescent="0.25">
      <c r="A78" s="5" t="s">
        <v>20</v>
      </c>
      <c r="B78" s="5" t="s">
        <v>21</v>
      </c>
      <c r="C78" s="5" t="s">
        <v>360</v>
      </c>
      <c r="D78" s="5" t="s">
        <v>361</v>
      </c>
      <c r="E78" s="5" t="s">
        <v>62</v>
      </c>
      <c r="F78" s="5" t="s">
        <v>362</v>
      </c>
      <c r="G78" s="5" t="s">
        <v>363</v>
      </c>
      <c r="H78" s="5" t="s">
        <v>27</v>
      </c>
      <c r="I78" s="5" t="s">
        <v>27</v>
      </c>
      <c r="J78" s="5" t="s">
        <v>364</v>
      </c>
      <c r="K78" s="5" t="s">
        <v>27</v>
      </c>
      <c r="L78" s="5" t="s">
        <v>29</v>
      </c>
      <c r="M78" s="5" t="s">
        <v>27</v>
      </c>
    </row>
    <row r="79" spans="3:13" x14ac:dyDescent="0.25">
      <c r="C79" s="4" t="s">
        <v>365</v>
      </c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25">
      <c r="A80" s="5" t="s">
        <v>20</v>
      </c>
      <c r="B80" s="5" t="s">
        <v>21</v>
      </c>
      <c r="C80" s="5" t="s">
        <v>366</v>
      </c>
      <c r="D80" s="5" t="s">
        <v>367</v>
      </c>
      <c r="E80" s="5" t="s">
        <v>24</v>
      </c>
      <c r="F80" s="5" t="s">
        <v>27</v>
      </c>
      <c r="G80" s="5" t="s">
        <v>368</v>
      </c>
      <c r="H80" s="5" t="s">
        <v>27</v>
      </c>
      <c r="I80" s="5" t="s">
        <v>27</v>
      </c>
      <c r="J80" s="5" t="s">
        <v>369</v>
      </c>
      <c r="K80" s="5" t="s">
        <v>27</v>
      </c>
      <c r="L80" s="5" t="s">
        <v>29</v>
      </c>
      <c r="M80" s="5" t="s">
        <v>27</v>
      </c>
    </row>
    <row r="81" spans="1:13" x14ac:dyDescent="0.25">
      <c r="A81" s="5" t="s">
        <v>20</v>
      </c>
      <c r="B81" s="5" t="s">
        <v>21</v>
      </c>
      <c r="C81" s="5" t="s">
        <v>370</v>
      </c>
      <c r="D81" s="5" t="s">
        <v>371</v>
      </c>
      <c r="E81" s="5" t="s">
        <v>24</v>
      </c>
      <c r="F81" s="5" t="s">
        <v>27</v>
      </c>
      <c r="G81" s="5" t="s">
        <v>372</v>
      </c>
      <c r="H81" s="5" t="s">
        <v>373</v>
      </c>
      <c r="I81" s="5" t="s">
        <v>27</v>
      </c>
      <c r="J81" s="5" t="s">
        <v>374</v>
      </c>
      <c r="K81" s="5" t="s">
        <v>27</v>
      </c>
      <c r="L81" s="5" t="s">
        <v>29</v>
      </c>
      <c r="M81" s="5" t="s">
        <v>27</v>
      </c>
    </row>
    <row r="82" spans="1:13" x14ac:dyDescent="0.25">
      <c r="A82" s="5" t="s">
        <v>20</v>
      </c>
      <c r="B82" s="5" t="s">
        <v>21</v>
      </c>
      <c r="C82" s="5" t="s">
        <v>375</v>
      </c>
      <c r="D82" s="5" t="s">
        <v>376</v>
      </c>
      <c r="E82" s="5" t="s">
        <v>24</v>
      </c>
      <c r="F82" s="5" t="s">
        <v>27</v>
      </c>
      <c r="G82" s="5" t="s">
        <v>377</v>
      </c>
      <c r="H82" s="5" t="s">
        <v>27</v>
      </c>
      <c r="I82" s="5" t="s">
        <v>27</v>
      </c>
      <c r="J82" s="5" t="s">
        <v>378</v>
      </c>
      <c r="K82" s="5" t="s">
        <v>27</v>
      </c>
      <c r="L82" s="5" t="s">
        <v>29</v>
      </c>
      <c r="M82" s="5" t="s">
        <v>27</v>
      </c>
    </row>
    <row r="83" spans="1:13" x14ac:dyDescent="0.25">
      <c r="A83" s="5" t="s">
        <v>20</v>
      </c>
      <c r="B83" s="5" t="s">
        <v>21</v>
      </c>
      <c r="C83" s="5" t="s">
        <v>379</v>
      </c>
      <c r="D83" s="5" t="s">
        <v>380</v>
      </c>
      <c r="E83" s="5" t="s">
        <v>24</v>
      </c>
      <c r="F83" s="5" t="s">
        <v>27</v>
      </c>
      <c r="G83" s="5" t="s">
        <v>381</v>
      </c>
      <c r="H83" s="5" t="s">
        <v>27</v>
      </c>
      <c r="I83" s="5" t="s">
        <v>27</v>
      </c>
      <c r="J83" s="5" t="s">
        <v>382</v>
      </c>
      <c r="K83" s="5" t="s">
        <v>27</v>
      </c>
      <c r="L83" s="5" t="s">
        <v>29</v>
      </c>
      <c r="M83" s="5" t="s">
        <v>27</v>
      </c>
    </row>
    <row r="84" spans="1:13" x14ac:dyDescent="0.25">
      <c r="A84" s="5" t="s">
        <v>20</v>
      </c>
      <c r="B84" s="5" t="s">
        <v>21</v>
      </c>
      <c r="C84" s="5" t="s">
        <v>383</v>
      </c>
      <c r="D84" s="5" t="s">
        <v>384</v>
      </c>
      <c r="E84" s="5" t="s">
        <v>24</v>
      </c>
      <c r="F84" s="5" t="s">
        <v>27</v>
      </c>
      <c r="G84" s="5" t="s">
        <v>385</v>
      </c>
      <c r="H84" s="5" t="s">
        <v>27</v>
      </c>
      <c r="I84" s="5" t="s">
        <v>27</v>
      </c>
      <c r="J84" s="5" t="s">
        <v>386</v>
      </c>
      <c r="K84" s="5" t="s">
        <v>27</v>
      </c>
      <c r="L84" s="5" t="s">
        <v>29</v>
      </c>
      <c r="M84" s="5" t="s">
        <v>27</v>
      </c>
    </row>
    <row r="85" spans="1:13" x14ac:dyDescent="0.25">
      <c r="A85" s="5" t="s">
        <v>20</v>
      </c>
      <c r="B85" s="5" t="s">
        <v>21</v>
      </c>
      <c r="C85" s="5" t="s">
        <v>387</v>
      </c>
      <c r="D85" s="5" t="s">
        <v>388</v>
      </c>
      <c r="E85" s="5" t="s">
        <v>24</v>
      </c>
      <c r="F85" s="5" t="s">
        <v>27</v>
      </c>
      <c r="G85" s="5" t="s">
        <v>389</v>
      </c>
      <c r="H85" s="5" t="s">
        <v>27</v>
      </c>
      <c r="I85" s="5" t="s">
        <v>27</v>
      </c>
      <c r="J85" s="5" t="s">
        <v>390</v>
      </c>
      <c r="K85" s="5" t="s">
        <v>27</v>
      </c>
      <c r="L85" s="5" t="s">
        <v>29</v>
      </c>
      <c r="M85" s="5" t="s">
        <v>27</v>
      </c>
    </row>
    <row r="86" spans="1:13" x14ac:dyDescent="0.25">
      <c r="A86" s="5" t="s">
        <v>20</v>
      </c>
      <c r="B86" s="5" t="s">
        <v>21</v>
      </c>
      <c r="C86" s="5" t="s">
        <v>391</v>
      </c>
      <c r="D86" s="5" t="s">
        <v>392</v>
      </c>
      <c r="E86" s="5" t="s">
        <v>24</v>
      </c>
      <c r="F86" s="5" t="s">
        <v>27</v>
      </c>
      <c r="G86" s="5" t="s">
        <v>393</v>
      </c>
      <c r="H86" s="5" t="s">
        <v>27</v>
      </c>
      <c r="I86" s="5" t="s">
        <v>27</v>
      </c>
      <c r="J86" s="5" t="s">
        <v>394</v>
      </c>
      <c r="K86" s="5" t="s">
        <v>27</v>
      </c>
      <c r="L86" s="5" t="s">
        <v>29</v>
      </c>
      <c r="M86" s="5" t="s">
        <v>27</v>
      </c>
    </row>
    <row r="87" spans="1:13" x14ac:dyDescent="0.25">
      <c r="A87" s="5" t="s">
        <v>20</v>
      </c>
      <c r="B87" s="5" t="s">
        <v>21</v>
      </c>
      <c r="C87" s="5" t="s">
        <v>395</v>
      </c>
      <c r="D87" s="5" t="s">
        <v>396</v>
      </c>
      <c r="E87" s="5" t="s">
        <v>62</v>
      </c>
      <c r="F87" s="5" t="s">
        <v>27</v>
      </c>
      <c r="G87" s="5" t="s">
        <v>397</v>
      </c>
      <c r="H87" s="5" t="s">
        <v>27</v>
      </c>
      <c r="I87" s="5" t="s">
        <v>27</v>
      </c>
      <c r="J87" s="5" t="s">
        <v>398</v>
      </c>
      <c r="K87" s="5" t="s">
        <v>27</v>
      </c>
      <c r="L87" s="5" t="s">
        <v>29</v>
      </c>
      <c r="M87" s="5" t="s">
        <v>27</v>
      </c>
    </row>
    <row r="88" spans="1:13" x14ac:dyDescent="0.25">
      <c r="A88" s="5" t="s">
        <v>20</v>
      </c>
      <c r="B88" s="5" t="s">
        <v>21</v>
      </c>
      <c r="C88" s="5" t="s">
        <v>399</v>
      </c>
      <c r="D88" s="5" t="s">
        <v>400</v>
      </c>
      <c r="E88" s="5" t="s">
        <v>24</v>
      </c>
      <c r="F88" s="5" t="s">
        <v>401</v>
      </c>
      <c r="G88" s="5" t="s">
        <v>402</v>
      </c>
      <c r="H88" s="5" t="s">
        <v>27</v>
      </c>
      <c r="I88" s="5" t="s">
        <v>27</v>
      </c>
      <c r="J88" s="5" t="s">
        <v>403</v>
      </c>
      <c r="K88" s="5" t="s">
        <v>27</v>
      </c>
      <c r="L88" s="5" t="s">
        <v>29</v>
      </c>
      <c r="M88" s="5" t="s">
        <v>27</v>
      </c>
    </row>
    <row r="89" spans="1:13" x14ac:dyDescent="0.25">
      <c r="A89" s="5" t="s">
        <v>20</v>
      </c>
      <c r="B89" s="5" t="s">
        <v>21</v>
      </c>
      <c r="C89" s="5" t="s">
        <v>404</v>
      </c>
      <c r="D89" s="5" t="s">
        <v>405</v>
      </c>
      <c r="E89" s="5" t="s">
        <v>24</v>
      </c>
      <c r="F89" s="5" t="s">
        <v>27</v>
      </c>
      <c r="G89" s="5" t="s">
        <v>406</v>
      </c>
      <c r="H89" s="5" t="s">
        <v>27</v>
      </c>
      <c r="I89" s="5" t="s">
        <v>27</v>
      </c>
      <c r="J89" s="5" t="s">
        <v>407</v>
      </c>
      <c r="K89" s="5" t="s">
        <v>27</v>
      </c>
      <c r="L89" s="5" t="s">
        <v>29</v>
      </c>
      <c r="M89" s="5" t="s">
        <v>27</v>
      </c>
    </row>
    <row r="90" spans="1:13" x14ac:dyDescent="0.25">
      <c r="A90" s="5" t="s">
        <v>20</v>
      </c>
      <c r="B90" s="5" t="s">
        <v>21</v>
      </c>
      <c r="C90" s="5" t="s">
        <v>408</v>
      </c>
      <c r="D90" s="5" t="s">
        <v>409</v>
      </c>
      <c r="E90" s="5" t="s">
        <v>24</v>
      </c>
      <c r="F90" s="5" t="s">
        <v>315</v>
      </c>
      <c r="G90" s="5" t="s">
        <v>410</v>
      </c>
      <c r="H90" s="5" t="s">
        <v>27</v>
      </c>
      <c r="I90" s="5" t="s">
        <v>27</v>
      </c>
      <c r="J90" s="5" t="s">
        <v>411</v>
      </c>
      <c r="K90" s="5" t="s">
        <v>27</v>
      </c>
      <c r="L90" s="5" t="s">
        <v>29</v>
      </c>
      <c r="M90" s="5" t="s">
        <v>27</v>
      </c>
    </row>
    <row r="91" spans="1:13" x14ac:dyDescent="0.25">
      <c r="A91" s="5" t="s">
        <v>20</v>
      </c>
      <c r="B91" s="5" t="s">
        <v>21</v>
      </c>
      <c r="C91" s="5" t="s">
        <v>412</v>
      </c>
      <c r="D91" s="5" t="s">
        <v>413</v>
      </c>
      <c r="E91" s="5" t="s">
        <v>24</v>
      </c>
      <c r="F91" s="5" t="s">
        <v>315</v>
      </c>
      <c r="G91" s="5" t="s">
        <v>414</v>
      </c>
      <c r="H91" s="5" t="s">
        <v>27</v>
      </c>
      <c r="I91" s="5" t="s">
        <v>27</v>
      </c>
      <c r="J91" s="5" t="s">
        <v>415</v>
      </c>
      <c r="K91" s="5" t="s">
        <v>27</v>
      </c>
      <c r="L91" s="5" t="s">
        <v>29</v>
      </c>
      <c r="M91" s="5" t="s">
        <v>27</v>
      </c>
    </row>
    <row r="92" spans="1:13" x14ac:dyDescent="0.25">
      <c r="A92" s="5" t="s">
        <v>20</v>
      </c>
      <c r="B92" s="5" t="s">
        <v>21</v>
      </c>
      <c r="C92" s="5" t="s">
        <v>416</v>
      </c>
      <c r="D92" s="5" t="s">
        <v>417</v>
      </c>
      <c r="E92" s="5" t="s">
        <v>24</v>
      </c>
      <c r="F92" s="5" t="s">
        <v>418</v>
      </c>
      <c r="G92" s="5" t="s">
        <v>419</v>
      </c>
      <c r="H92" s="5" t="s">
        <v>27</v>
      </c>
      <c r="I92" s="5" t="s">
        <v>27</v>
      </c>
      <c r="J92" s="5" t="s">
        <v>420</v>
      </c>
      <c r="K92" s="5" t="s">
        <v>27</v>
      </c>
      <c r="L92" s="5" t="s">
        <v>29</v>
      </c>
      <c r="M92" s="5" t="s">
        <v>27</v>
      </c>
    </row>
    <row r="93" spans="3:13" x14ac:dyDescent="0.25">
      <c r="C93" s="4" t="s">
        <v>421</v>
      </c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25">
      <c r="A94" s="5" t="s">
        <v>20</v>
      </c>
      <c r="B94" s="5" t="s">
        <v>21</v>
      </c>
      <c r="C94" s="5" t="s">
        <v>422</v>
      </c>
      <c r="D94" s="5" t="s">
        <v>423</v>
      </c>
      <c r="E94" s="5" t="s">
        <v>24</v>
      </c>
      <c r="F94" s="5" t="s">
        <v>424</v>
      </c>
      <c r="G94" s="5" t="s">
        <v>425</v>
      </c>
      <c r="H94" s="5" t="s">
        <v>27</v>
      </c>
      <c r="I94" s="5" t="s">
        <v>27</v>
      </c>
      <c r="J94" s="5" t="s">
        <v>426</v>
      </c>
      <c r="K94" s="5" t="s">
        <v>27</v>
      </c>
      <c r="L94" s="5" t="s">
        <v>29</v>
      </c>
      <c r="M94" s="5" t="s">
        <v>27</v>
      </c>
    </row>
    <row r="95" spans="1:13" x14ac:dyDescent="0.25">
      <c r="A95" s="5" t="s">
        <v>20</v>
      </c>
      <c r="B95" s="5" t="s">
        <v>21</v>
      </c>
      <c r="C95" s="5" t="s">
        <v>427</v>
      </c>
      <c r="D95" s="5" t="s">
        <v>428</v>
      </c>
      <c r="E95" s="5" t="s">
        <v>24</v>
      </c>
      <c r="F95" s="5" t="s">
        <v>27</v>
      </c>
      <c r="G95" s="5" t="s">
        <v>429</v>
      </c>
      <c r="H95" s="5" t="s">
        <v>27</v>
      </c>
      <c r="I95" s="5" t="s">
        <v>27</v>
      </c>
      <c r="J95" s="5" t="s">
        <v>430</v>
      </c>
      <c r="K95" s="5" t="s">
        <v>27</v>
      </c>
      <c r="L95" s="5" t="s">
        <v>29</v>
      </c>
      <c r="M95" s="5" t="s">
        <v>27</v>
      </c>
    </row>
    <row r="96" spans="1:13" x14ac:dyDescent="0.25">
      <c r="A96" s="5" t="s">
        <v>20</v>
      </c>
      <c r="B96" s="5" t="s">
        <v>21</v>
      </c>
      <c r="C96" s="5" t="s">
        <v>431</v>
      </c>
      <c r="D96" s="5" t="s">
        <v>432</v>
      </c>
      <c r="E96" s="5" t="s">
        <v>24</v>
      </c>
      <c r="F96" s="5" t="s">
        <v>27</v>
      </c>
      <c r="G96" s="5" t="s">
        <v>433</v>
      </c>
      <c r="H96" s="5" t="s">
        <v>27</v>
      </c>
      <c r="I96" s="5" t="s">
        <v>27</v>
      </c>
      <c r="J96" s="5" t="s">
        <v>434</v>
      </c>
      <c r="K96" s="5" t="s">
        <v>27</v>
      </c>
      <c r="L96" s="5" t="s">
        <v>29</v>
      </c>
      <c r="M96" s="5" t="s">
        <v>27</v>
      </c>
    </row>
    <row r="97" spans="1:13" x14ac:dyDescent="0.25">
      <c r="A97" s="5" t="s">
        <v>20</v>
      </c>
      <c r="B97" s="5" t="s">
        <v>21</v>
      </c>
      <c r="C97" s="5" t="s">
        <v>435</v>
      </c>
      <c r="D97" s="5" t="s">
        <v>436</v>
      </c>
      <c r="E97" s="5" t="s">
        <v>24</v>
      </c>
      <c r="F97" s="5" t="s">
        <v>300</v>
      </c>
      <c r="G97" s="5" t="s">
        <v>437</v>
      </c>
      <c r="H97" s="5" t="s">
        <v>27</v>
      </c>
      <c r="I97" s="5" t="s">
        <v>27</v>
      </c>
      <c r="J97" s="5" t="s">
        <v>438</v>
      </c>
      <c r="K97" s="5" t="s">
        <v>27</v>
      </c>
      <c r="L97" s="5" t="s">
        <v>29</v>
      </c>
      <c r="M97" s="5" t="s">
        <v>27</v>
      </c>
    </row>
    <row r="98" spans="1:13" x14ac:dyDescent="0.25">
      <c r="A98" s="5" t="s">
        <v>20</v>
      </c>
      <c r="B98" s="5" t="s">
        <v>21</v>
      </c>
      <c r="C98" s="5" t="s">
        <v>439</v>
      </c>
      <c r="D98" s="5" t="s">
        <v>440</v>
      </c>
      <c r="E98" s="5" t="s">
        <v>24</v>
      </c>
      <c r="F98" s="5" t="s">
        <v>310</v>
      </c>
      <c r="G98" s="5" t="s">
        <v>441</v>
      </c>
      <c r="H98" s="5" t="s">
        <v>27</v>
      </c>
      <c r="I98" s="5" t="s">
        <v>27</v>
      </c>
      <c r="J98" s="5" t="s">
        <v>442</v>
      </c>
      <c r="K98" s="5" t="s">
        <v>27</v>
      </c>
      <c r="L98" s="5" t="s">
        <v>29</v>
      </c>
      <c r="M98" s="5" t="s">
        <v>27</v>
      </c>
    </row>
    <row r="99" spans="1:13" x14ac:dyDescent="0.25">
      <c r="A99" s="5" t="s">
        <v>20</v>
      </c>
      <c r="B99" s="5" t="s">
        <v>21</v>
      </c>
      <c r="C99" s="5" t="s">
        <v>443</v>
      </c>
      <c r="D99" s="5" t="s">
        <v>444</v>
      </c>
      <c r="E99" s="5" t="s">
        <v>24</v>
      </c>
      <c r="F99" s="5" t="s">
        <v>445</v>
      </c>
      <c r="G99" s="5" t="s">
        <v>446</v>
      </c>
      <c r="H99" s="5" t="s">
        <v>27</v>
      </c>
      <c r="I99" s="5" t="s">
        <v>27</v>
      </c>
      <c r="J99" s="5" t="s">
        <v>447</v>
      </c>
      <c r="K99" s="5" t="s">
        <v>27</v>
      </c>
      <c r="L99" s="5" t="s">
        <v>29</v>
      </c>
      <c r="M99" s="5" t="s">
        <v>27</v>
      </c>
    </row>
    <row r="100" spans="3:13" x14ac:dyDescent="0.25">
      <c r="C100" s="4" t="s">
        <v>448</v>
      </c>
      <c r="D100" s="4"/>
      <c r="E100" s="4"/>
      <c r="F100" s="4"/>
      <c r="G100" s="4"/>
      <c r="H100" s="4"/>
      <c r="I100" s="4"/>
      <c r="J100" s="4"/>
      <c r="K100" s="4"/>
      <c r="L100" s="4"/>
      <c r="M100" s="4"/>
    </row>
    <row r="101" spans="1:13" x14ac:dyDescent="0.25">
      <c r="A101" s="5" t="s">
        <v>20</v>
      </c>
      <c r="B101" s="5" t="s">
        <v>21</v>
      </c>
      <c r="C101" s="5" t="s">
        <v>449</v>
      </c>
      <c r="D101" s="5" t="s">
        <v>450</v>
      </c>
      <c r="E101" s="5" t="s">
        <v>62</v>
      </c>
      <c r="F101" s="5" t="s">
        <v>27</v>
      </c>
      <c r="G101" s="5" t="s">
        <v>451</v>
      </c>
      <c r="H101" s="5" t="s">
        <v>452</v>
      </c>
      <c r="I101" s="5" t="s">
        <v>27</v>
      </c>
      <c r="J101" s="5" t="s">
        <v>453</v>
      </c>
      <c r="K101" s="5" t="s">
        <v>27</v>
      </c>
      <c r="L101" s="5" t="s">
        <v>29</v>
      </c>
      <c r="M101" s="5" t="s">
        <v>27</v>
      </c>
    </row>
    <row r="102" spans="1:13" x14ac:dyDescent="0.25">
      <c r="A102" s="5" t="s">
        <v>20</v>
      </c>
      <c r="B102" s="5" t="s">
        <v>21</v>
      </c>
      <c r="C102" s="5" t="s">
        <v>454</v>
      </c>
      <c r="D102" s="5" t="s">
        <v>455</v>
      </c>
      <c r="E102" s="5" t="s">
        <v>62</v>
      </c>
      <c r="F102" s="5" t="s">
        <v>27</v>
      </c>
      <c r="G102" s="5" t="s">
        <v>456</v>
      </c>
      <c r="H102" s="5" t="s">
        <v>457</v>
      </c>
      <c r="I102" s="5" t="s">
        <v>27</v>
      </c>
      <c r="J102" s="5" t="s">
        <v>458</v>
      </c>
      <c r="K102" s="5" t="s">
        <v>27</v>
      </c>
      <c r="L102" s="5" t="s">
        <v>29</v>
      </c>
      <c r="M102" s="5" t="s">
        <v>27</v>
      </c>
    </row>
    <row r="103" spans="1:13" x14ac:dyDescent="0.25">
      <c r="A103" s="5" t="s">
        <v>20</v>
      </c>
      <c r="B103" s="5" t="s">
        <v>21</v>
      </c>
      <c r="C103" s="5" t="s">
        <v>459</v>
      </c>
      <c r="D103" s="5" t="s">
        <v>460</v>
      </c>
      <c r="E103" s="5" t="s">
        <v>62</v>
      </c>
      <c r="F103" s="5" t="s">
        <v>27</v>
      </c>
      <c r="G103" s="5" t="s">
        <v>461</v>
      </c>
      <c r="H103" s="5" t="s">
        <v>27</v>
      </c>
      <c r="I103" s="5" t="s">
        <v>27</v>
      </c>
      <c r="J103" s="5" t="s">
        <v>462</v>
      </c>
      <c r="K103" s="5" t="s">
        <v>27</v>
      </c>
      <c r="L103" s="5" t="s">
        <v>29</v>
      </c>
      <c r="M103" s="5" t="s">
        <v>27</v>
      </c>
    </row>
    <row r="104" spans="1:13" x14ac:dyDescent="0.25">
      <c r="A104" s="5" t="s">
        <v>20</v>
      </c>
      <c r="B104" s="5" t="s">
        <v>21</v>
      </c>
      <c r="C104" s="5" t="s">
        <v>463</v>
      </c>
      <c r="D104" s="5" t="s">
        <v>464</v>
      </c>
      <c r="E104" s="5" t="s">
        <v>62</v>
      </c>
      <c r="F104" s="5" t="s">
        <v>27</v>
      </c>
      <c r="G104" s="5" t="s">
        <v>465</v>
      </c>
      <c r="H104" s="5" t="s">
        <v>466</v>
      </c>
      <c r="I104" s="5" t="s">
        <v>27</v>
      </c>
      <c r="J104" s="5" t="s">
        <v>467</v>
      </c>
      <c r="K104" s="5" t="s">
        <v>27</v>
      </c>
      <c r="L104" s="5" t="s">
        <v>29</v>
      </c>
      <c r="M104" s="5" t="s">
        <v>27</v>
      </c>
    </row>
    <row r="105" spans="1:13" x14ac:dyDescent="0.25">
      <c r="A105" s="5" t="s">
        <v>20</v>
      </c>
      <c r="B105" s="5" t="s">
        <v>21</v>
      </c>
      <c r="C105" s="5" t="s">
        <v>468</v>
      </c>
      <c r="D105" s="5" t="s">
        <v>469</v>
      </c>
      <c r="E105" s="5" t="s">
        <v>264</v>
      </c>
      <c r="F105" s="5" t="s">
        <v>27</v>
      </c>
      <c r="G105" s="5" t="s">
        <v>470</v>
      </c>
      <c r="H105" s="5" t="s">
        <v>27</v>
      </c>
      <c r="I105" s="5" t="s">
        <v>27</v>
      </c>
      <c r="J105" s="5" t="s">
        <v>471</v>
      </c>
      <c r="K105" s="5" t="s">
        <v>27</v>
      </c>
      <c r="L105" s="5" t="s">
        <v>29</v>
      </c>
      <c r="M105" s="5" t="s">
        <v>27</v>
      </c>
    </row>
    <row r="106" spans="1:13" x14ac:dyDescent="0.25">
      <c r="A106" s="5" t="s">
        <v>20</v>
      </c>
      <c r="B106" s="5" t="s">
        <v>21</v>
      </c>
      <c r="C106" s="5" t="s">
        <v>472</v>
      </c>
      <c r="D106" s="5" t="s">
        <v>473</v>
      </c>
      <c r="E106" s="5" t="s">
        <v>62</v>
      </c>
      <c r="F106" s="5" t="s">
        <v>474</v>
      </c>
      <c r="G106" s="5" t="s">
        <v>475</v>
      </c>
      <c r="H106" s="5" t="s">
        <v>27</v>
      </c>
      <c r="I106" s="5" t="s">
        <v>27</v>
      </c>
      <c r="J106" s="5" t="s">
        <v>476</v>
      </c>
      <c r="K106" s="5" t="s">
        <v>27</v>
      </c>
      <c r="L106" s="5" t="s">
        <v>29</v>
      </c>
      <c r="M106" s="5" t="s">
        <v>27</v>
      </c>
    </row>
    <row r="107" spans="1:13" x14ac:dyDescent="0.25">
      <c r="A107" s="5" t="s">
        <v>20</v>
      </c>
      <c r="B107" s="5" t="s">
        <v>21</v>
      </c>
      <c r="C107" s="5" t="s">
        <v>477</v>
      </c>
      <c r="D107" s="5" t="s">
        <v>478</v>
      </c>
      <c r="E107" s="5" t="s">
        <v>62</v>
      </c>
      <c r="F107" s="5" t="s">
        <v>27</v>
      </c>
      <c r="G107" s="5" t="s">
        <v>479</v>
      </c>
      <c r="H107" s="5" t="s">
        <v>27</v>
      </c>
      <c r="I107" s="5" t="s">
        <v>27</v>
      </c>
      <c r="J107" s="5" t="s">
        <v>480</v>
      </c>
      <c r="K107" s="5" t="s">
        <v>27</v>
      </c>
      <c r="L107" s="5" t="s">
        <v>29</v>
      </c>
      <c r="M107" s="5" t="s">
        <v>27</v>
      </c>
    </row>
    <row r="108" spans="1:13" x14ac:dyDescent="0.25">
      <c r="A108" s="5" t="s">
        <v>20</v>
      </c>
      <c r="B108" s="5" t="s">
        <v>21</v>
      </c>
      <c r="C108" s="5" t="s">
        <v>481</v>
      </c>
      <c r="D108" s="5" t="s">
        <v>482</v>
      </c>
      <c r="E108" s="5" t="s">
        <v>264</v>
      </c>
      <c r="F108" s="5" t="s">
        <v>483</v>
      </c>
      <c r="G108" s="5" t="s">
        <v>484</v>
      </c>
      <c r="H108" s="5" t="s">
        <v>27</v>
      </c>
      <c r="I108" s="5" t="s">
        <v>27</v>
      </c>
      <c r="J108" s="5" t="s">
        <v>485</v>
      </c>
      <c r="K108" s="5" t="s">
        <v>27</v>
      </c>
      <c r="L108" s="5" t="s">
        <v>29</v>
      </c>
      <c r="M108" s="5" t="s">
        <v>27</v>
      </c>
    </row>
    <row r="109" spans="1:13" x14ac:dyDescent="0.25">
      <c r="A109" s="5" t="s">
        <v>20</v>
      </c>
      <c r="B109" s="5" t="s">
        <v>21</v>
      </c>
      <c r="C109" s="5" t="s">
        <v>486</v>
      </c>
      <c r="D109" s="5" t="s">
        <v>487</v>
      </c>
      <c r="E109" s="5" t="s">
        <v>264</v>
      </c>
      <c r="F109" s="5" t="s">
        <v>27</v>
      </c>
      <c r="G109" s="5" t="s">
        <v>488</v>
      </c>
      <c r="H109" s="5" t="s">
        <v>27</v>
      </c>
      <c r="I109" s="5" t="s">
        <v>27</v>
      </c>
      <c r="J109" s="5" t="s">
        <v>489</v>
      </c>
      <c r="K109" s="5" t="s">
        <v>27</v>
      </c>
      <c r="L109" s="5" t="s">
        <v>29</v>
      </c>
      <c r="M109" s="5" t="s">
        <v>27</v>
      </c>
    </row>
    <row r="110" spans="1:13" x14ac:dyDescent="0.25">
      <c r="A110" s="5" t="s">
        <v>20</v>
      </c>
      <c r="B110" s="5" t="s">
        <v>21</v>
      </c>
      <c r="C110" s="5" t="s">
        <v>490</v>
      </c>
      <c r="D110" s="5" t="s">
        <v>491</v>
      </c>
      <c r="E110" s="5" t="s">
        <v>62</v>
      </c>
      <c r="F110" s="5" t="s">
        <v>27</v>
      </c>
      <c r="G110" s="5" t="s">
        <v>492</v>
      </c>
      <c r="H110" s="5" t="s">
        <v>27</v>
      </c>
      <c r="I110" s="5" t="s">
        <v>27</v>
      </c>
      <c r="J110" s="5" t="s">
        <v>493</v>
      </c>
      <c r="K110" s="5" t="s">
        <v>27</v>
      </c>
      <c r="L110" s="5" t="s">
        <v>29</v>
      </c>
      <c r="M110" s="5" t="s">
        <v>27</v>
      </c>
    </row>
  </sheetData>
  <mergeCells count="10">
    <mergeCell ref="A1:E1"/>
    <mergeCell ref="F1:I1"/>
    <mergeCell ref="C7:M7"/>
    <mergeCell ref="C31:M31"/>
    <mergeCell ref="C60:M60"/>
    <mergeCell ref="C68:M68"/>
    <mergeCell ref="C74:M74"/>
    <mergeCell ref="C79:M79"/>
    <mergeCell ref="C93:M93"/>
    <mergeCell ref="C100:M100"/>
  </mergeCells>
  <dataValidations count="1">
    <dataValidation type="list" allowBlank="1" errorTitle="Giá trị không hợp lệ" error="Chọn 1 trong 4 giá trị" sqref="L8:L500">
      <formula1>"Passed,Failed,Pending,Not Executed"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 trinh hoc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2026-05-05T02:37:50Z</dcterms:created>
  <dcterms:modified xsi:type="dcterms:W3CDTF">2026-05-05T02:37:50Z</dcterms:modified>
</cp:coreProperties>
</file>