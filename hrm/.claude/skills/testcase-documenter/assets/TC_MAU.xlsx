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<sst xmlns="http://schemas.openxmlformats.org/spreadsheetml/2006/main" count="986" uniqueCount="549">
  <si>
    <t>MÔ TẢ TÍNH NĂNG (đọc trước khi xem testcase)</t>
  </si>
  <si>
    <t>1. Mục đích tính năng</t>
  </si>
  <si>
    <t>Kiểm thử TOÀN BỘ chức năng màn BOM Giải pháp `/assign/bom-list`: danh sách + bộ lọc + xuất Excel danh sách, tạo/sửa BOM (thông tin chung, lưới hàng hoá nhóm 2 cấp, hàng ERP / hàng tạm / công thức ERP, cha-con, nhân bản, kéo-thả), dịch vụ &amp; chi phí khác, BOM Tổng hợp gộp BOM thành phần (sub-BOM), trạng thái &amp; luồng duyệt qua hồ sơ trình duyệt, lịch sử, xoá, liên thông sang Báo giá, nhóm hàng 2 cấp + kéo-thả, và TRỌN BỘ Export / Import / Sao chép BOM (section VIII–XII).
 ► File này là bộ testcase ĐẦY ĐỦ của màn BOM Giải pháp — không cần tham chiếu file nào khác. Phần Báo giá nằm ở `testcase-bao-gia.xlsx`.</t>
  </si>
  <si>
    <t>2. Đối tượng được tính / hiển thị</t>
  </si>
  <si>
    <t>► 6 trạng thái BOM: 1 Đang tạo · 2 Hoàn thành · 3 Chờ duyệt · 4 Đã duyệt · 5 Đã được tổng hợp · 6 Không duyệt.
 ► 2 loại BOM: Thành phần (type = 1) và Tổng hợp (type = 2 — mới được chọn BOM con và mới tạo được báo giá).
 ► Bộ lọc danh sách: Dự án TKT, Giải pháp, Hạng mục, Khách hàng, Người tạo, Trạng thái, Loại BOM, khoảng Ngày tạo.
 ► Lưới hàng hoá gồm: dòng Hàng hoá (ERP hoặc hàng tạm, 2 cấp cha-con) và khối riêng 'Dịch vụ &amp; Chi phí khác'.
 ► Màn Hàng hoá dự án chỉ lấy dòng CHA của BOM Tổng hợp ĐÃ DUYỆT (hợp với báo giá tự lập đã duyệt/trúng thầu).</t>
  </si>
  <si>
    <t>3. Đối tượng bị ẩn / không tính</t>
  </si>
  <si>
    <t>► Nút Sửa chỉ hiện khi trạng thái ∈ {Đang tạo, Hoàn thành, Không duyệt} VÀ người đăng nhập là người tạo BOM.
 ► Nút Xoá chỉ hiện khi trạng thái = Đang tạo VÀ là người tạo VÀ có quyền 'Tạo BOM List'.
 ► Import chỉ chạy được khi BOM ở trạng thái cho phép sửa VÀ là người tạo.
 ► Nút chọn BOM con chỉ bật khi Loại BOM = Tổng hợp.
 ► Ô 'Mã BOM' ẩn ở màn Tạo mới (mã do hệ thống sinh khi Lưu).
 ► Cột giá vốn: người không có quyền 'Xem giá vốn hàng hoá' không xem được giá vốn hàng ERP và không được chọn hàng ERP làm hàng con.</t>
  </si>
  <si>
    <t>4. Bộ lọc thời gian áp dụng cho</t>
  </si>
  <si>
    <t>► Danh sách: 'Ngày tạo từ' / 'đến' áp lên created_at của BOM (bao gồm 2 đầu mút).
 ► Cột 'Cập nhật' hiển thị thời điểm sửa gần nhất (updated_at) — không phải điều kiện lọc.
 ► Giá ERP nạp vào BOM là giá tại thời điểm thêm hàng/lưu; đổi giá bên ERP sau đó không tự cập nhật ngược vào BOM đã lưu.</t>
  </si>
  <si>
    <t>5. Cấu trúc dữ liệu / cây phân cấp</t>
  </si>
  <si>
    <t>► NHÓM HÀNG 2 CẤP: Cấp 1 số La Mã (I, II); Cấp 2 nhãn I.1/I.2, thụt lề, nền nhạt hơn. Nhóm Cấp 2 KHÔNG tạo được nhóm cấp 3.
 ► HÀNG HOÁ 2 CẤP: dòng cha (cụm) và dòng con (vật tư). Dòng 'Dịch vụ &amp; Chi phí khác' KHÔNG có cấp con.
 ► Kéo-thả nhóm chỉ đổi thứ tự trong CÙNG CẤP + CÙNG CHA; handle kéo nhóm tách khỏi handle kéo hàng hoá.
 ► BOM Tổng hợp gộp nhiều BOM Thành phần: hàng hoá của BOM con được gộp vào lưới; BOM con bị chuyển trạng thái 'Đã được tổng hợp'.
 ► Mã hàng tạm tự sinh HHB + id (mã user nhập chỉ là nhãn gom nhóm).</t>
  </si>
  <si>
    <t>6. Quy tắc cộng dồn / deduplicate</t>
  </si>
  <si>
    <t>► Mã hàng KHÔNG duy nhất trong 1 BOM → quan hệ cha-con khi import nối theo cột 'Mã hàng cha' + dòng gần nhất phía trên CÙNG NHÓM LÁ.
 ► Mã hàng tạm: mã đã tồn tại trong 'Hàng hoá dự án' của CHÍNH DỰ ÁN đó → GIỮ; khác dự án → sinh mã HHB mới.
 ► Gộp BOM con: hàng tạm trùng mã được khử trùng lặp khi gộp; hàng ERP đối chiếu theo erp_product_id.
 ► Thêm BOM con vào BOM tổng hợp → BOM con chuyển 'Đã được tổng hợp'; bỏ ra khỏi danh sách → trả về 'Hoàn thành'.
 ► Ràng buộc dòng con: không được trùng mã với chính dòng CHA trực tiếp (so theo erp_product_id).</t>
  </si>
  <si>
    <t>7. Phân quyền cấp</t>
  </si>
  <si>
    <t>• 'Tạo BOM List' (id 1034) — hiện nút Tạo mới, nút Sao chép ở danh sách, và là điều kiện để Xoá.
 • 'Xem giá vốn hàng hoá' — xem giá vốn hàng ERP; bắt buộc khi chọn hàng ERP làm hàng con.
 • Vai trò dữ liệu (không phải permission): người TẠO BOM — điều kiện bắt buộc để Sửa / Import / Xoá.
 • Duyệt BOM Tổng hợp đi theo HỒ SƠ TRÌNH DUYỆT của Giải pháp / Hạng mục (không có nút duyệt riêng trên màn BOM).
 ⚠️ Quyền kiểm tra qua ROLE (role_has_permissions), không qua quyền gán trực tiếp cho nhân viên.</t>
  </si>
  <si>
    <t>8. Cách tính các ô thống kê</t>
  </si>
  <si>
    <t>► Ô 'Thành tiền' 1 dòng = Đơn giá (giá vốn ERP/nhập tay) × Số lượng.
 ► Dòng CHA có CON: giá trị cha roll-up từ các con, không cộng trùng cả cha lẫn con.
 ► Ô tổng BOM = Σ hàng hoá (theo quy tắc roll-up) + Σ dịch vụ &amp; chi phí khác.
 ► Modal Import BOM: Tổng = Hợp lệ + Lỗi + Chờ xác nhận (chi tiết ở testcase Import/Export/Sao chép).
 ► Màn danh sách không có ô thống kê tổng — chỉ đếm số bản ghi ở phân trang.</t>
  </si>
  <si>
    <t>9. Ghi chú đọc bảng</t>
  </si>
  <si>
    <t>► Mọi thao tác trên lưới chỉ ghi DB khi bấm 'Lưu nháp' / 'Lưu BOM'. TC nào sửa lưới đều phải kiểm tra lại sau khi Lưu + tải lại trang.
 ► 'Lưu nháp' giữ trạng thái Đang tạo; 'Lưu BOM' (lưu chính thức) đưa BOM sang Hoàn thành.
 ► BOM Không duyệt sửa lại và lưu chính thức → quay lại luồng bình thường.
 ► Testcase viết theo LOGIC CODE MỚI NHẤT; chỗ nào code lệch tài liệu đã ghi rõ ở cột 'Giải thích nghiệp vụ'.
 ► Section VIII–XII (nhóm 2 cấp, export, import, sao chép, round-trip) là phần ĐÃ GỘP vào file này — không cần mở file testcase nào khác.</t>
  </si>
  <si>
    <t>Testcase _ BOM Giải pháp - Cập nhật ngày 31/07/2026</t>
  </si>
  <si>
    <t>TEST SUMMARY</t>
  </si>
  <si>
    <t>Số trường hợp DNS kiểm thử đạt (P):</t>
  </si>
  <si>
    <t>Số trường hợp TP kiểm thử đạt (P):</t>
  </si>
  <si>
    <t>Số trường hợp DNS kiểm thử không đạt (F)</t>
  </si>
  <si>
    <t>Số trường hợp TP kiểm thử không đạt (F)</t>
  </si>
  <si>
    <t>Số trường hợp DNS kiểm thử đang xem xét (PE)</t>
  </si>
  <si>
    <t>Số trường hợp TP kiểm thử đang xem xét (PE)</t>
  </si>
  <si>
    <t>Số trường hợp DNS kiểm thử chưa thực hiện</t>
  </si>
  <si>
    <t>Số trường hợp TP kiểm thử chưa thực hiện</t>
  </si>
  <si>
    <t>Tổng số trường hợp DNS kiểm thử</t>
  </si>
  <si>
    <t>Tổng số trường hợp TP kiểm thử</t>
  </si>
  <si>
    <t>► Cột 'SĐT' và 'Nhóm KH' ở danh sách luôn hiển thị '-' / '—' do resource hard-code (CustomerListResource) — KHÔNG phản ánh dữ liệu thật, đừng test giá trị thật ở 2 cột này.
 ► Cột Trạng thái: pill 'Hoạt động' (xanh) khi status=1, 'Khóa' khi khác 1. Tạo mới luôn set status=1; màn này KHÔNG có UI khóa/mở khóa.
 ► Phân trang server-side, mặc định 10 dòng/trang; sắp xếp mặc định id giảm dần.
 ► Mã KH không nhập tay, tự sinh khi Lưu (theo biển số tỉnh + viết tắt tỉnh/phường, trùng thêm -01,-02). Sửa KHÔNG đổi mã.
 ► Toàn bộ validation hiển thị inline đến từ BE (HTTP 422); FE không chặn submit trước.</t>
  </si>
  <si>
    <t>Phân quyền &amp; truy cập</t>
  </si>
  <si>
    <t>Khách hàng</t>
  </si>
  <si>
    <t>TC-ROLE-00</t>
  </si>
  <si>
    <t>Truy cập mặc định khi không có quyền cấp nào</t>
  </si>
  <si>
    <t>P0</t>
  </si>
  <si>
    <t>User đã đăng nhập, account ĐÃ map ERP employee; KHÔNG có bất kỳ quyền 'Xem tất cả...' cấp nào; ERP có 5 KH do user tạo + 20 KH do người khác tạo</t>
  </si>
  <si>
    <t>1. Truy cập Danh mục &gt;&gt; Khách hàng
 2. Quan sát danh sách</t>
  </si>
  <si>
    <t>User: chỉ có quyền 'Xem khách hàng'</t>
  </si>
  <si>
    <t>- Chỉ hiển thị đúng 5 KH do chính user tạo
 - KHÔNG thấy 20 KH của người khác</t>
  </si>
  <si>
    <t>Passed</t>
  </si>
  <si>
    <t>TC-ROLE-01</t>
  </si>
  <si>
    <t>Truy cập với quyền 'Xem khách hàng'</t>
  </si>
  <si>
    <t>User có quyền 'Xem khách hàng'</t>
  </si>
  <si>
    <t>1. Truy cậpDanh mục &gt;&gt; Khách hàng
 2. Quan sát màn hình load</t>
  </si>
  <si>
    <t>User: quyền 'Xem khách hàng'</t>
  </si>
  <si>
    <t>- Vào được màn danh sách, bảng + bộ lọc hiển thị bình thường</t>
  </si>
  <si>
    <t>TC-ROLE-02</t>
  </si>
  <si>
    <t>Không có quyền 'Xem khách hàng'</t>
  </si>
  <si>
    <t>User KHÔNG có quyền 'Xem khách hàng'</t>
  </si>
  <si>
    <t>1. Truy cập trực tiếp URLDanh mục &gt;&gt; Khách hàng</t>
  </si>
  <si>
    <t>User: không có quyền xem</t>
  </si>
  <si>
    <t>- Bị chặn truy cập KHÔNG thấy danh sách KH</t>
  </si>
  <si>
    <t>TC-ROLE-03</t>
  </si>
  <si>
    <t>Quyền 'Xem khách hàng theo tổng công ty' (toàn hệ thống)</t>
  </si>
  <si>
    <t>User có quyền 'Xem khách hàng theo tổng công ty'; ERP có KH thuộc nhiều công ty khác nhau</t>
  </si>
  <si>
    <t>1. Truy cập danh sách
 2. Quan sát phạm vi dữ liệu</t>
  </si>
  <si>
    <t>User: quyền tất cả KH</t>
  </si>
  <si>
    <t>- Hiển thị TOÀN BỘ KH mọi công ty, không giới hạn cấp</t>
  </si>
  <si>
    <t>TC-ROLE-04</t>
  </si>
  <si>
    <t>Quyền 'Xem khách hàng theo công ty'</t>
  </si>
  <si>
    <t>User thuộc Công ty A; có quyền 'Xem khách hàng theo công ty'; ERP có KH cty A và cty B</t>
  </si>
  <si>
    <t>User: quyền cấp công ty, company A</t>
  </si>
  <si>
    <t>- Chỉ hiển thị KH gắn company_id = A
 - KHÔNG thấy KH công ty B</t>
  </si>
  <si>
    <t>TC-ROLE-05</t>
  </si>
  <si>
    <t>Quyền 'Xem khách hàng theo phòng ban'</t>
  </si>
  <si>
    <t>P1</t>
  </si>
  <si>
    <t>User thuộc Phòng ban X; có quyền cấp phòng ban; ERP có KH phòng X và phòng Y</t>
  </si>
  <si>
    <t>1. Truy cập danh sách
 2. Quan sát phạm vi</t>
  </si>
  <si>
    <t>User: quyền cấp phòng ban, department X</t>
  </si>
  <si>
    <t>- Chỉ hiển thị KH gắn department_id = X</t>
  </si>
  <si>
    <t>TC-ROLE-06</t>
  </si>
  <si>
    <t>Quyền 'Xem khách hàng theo tổng công ty của bộ phận'</t>
  </si>
  <si>
    <t>User thuộc Bộ phận P; có quyền cấp bộ phận; ERP có KH bộ phận P và bộ phận Q</t>
  </si>
  <si>
    <t>User: quyền cấp bộ phận, part P</t>
  </si>
  <si>
    <t>- Chỉ hiển thị KH gắn part_id = P</t>
  </si>
  <si>
    <t>TC-ROLE-07</t>
  </si>
  <si>
    <t>Quyền 'Thêm' — nút Tạo mới hiển thị</t>
  </si>
  <si>
    <t>User có quyền 'Thêm'</t>
  </si>
  <si>
    <t>1. Truy cập danh sách
 2. Quan sát góc phải trên</t>
  </si>
  <si>
    <t>User: quyền thêm</t>
  </si>
  <si>
    <t>- Nút 'Tạo mới' hiển thị
 - Bấm vào điều hướngDanh mục &gt;&gt; Khách hàng</t>
  </si>
  <si>
    <t>TC-ROLE-08</t>
  </si>
  <si>
    <t>Không có quyền 'Thêm' — ẩn nút Tạo mới</t>
  </si>
  <si>
    <t>User KHÔNG có quyền 'Thêm'</t>
  </si>
  <si>
    <t>1. Truy cập danh sách
 2. Quan sát</t>
  </si>
  <si>
    <t>User: không có quyền thêm</t>
  </si>
  <si>
    <t>- Nút 'Tạo mới' KHÔNG hiển thị</t>
  </si>
  <si>
    <t>TC-ROLE-09</t>
  </si>
  <si>
    <t>Quyền 'Sửa' — nút Sửa hiển thị</t>
  </si>
  <si>
    <t>User có quyền 'Sửa'; danh sách có ≥1 KH</t>
  </si>
  <si>
    <t>1. Truy cập danh sách
 2. Quan sát action trên từng dòng</t>
  </si>
  <si>
    <t>User: quyền sửa</t>
  </si>
  <si>
    <t>- Nút 'Sửa' hiển thị trên mỗi dòng (cùng nút 'Xem')
 - Bấm Sửa mở form chỉnh sửa</t>
  </si>
  <si>
    <t>TC-ROLE-10</t>
  </si>
  <si>
    <t>Không có quyền 'Sửa'— chỉ Xem</t>
  </si>
  <si>
    <t>User KHÔNG có quyền 'Sửa khách hàng' nhưng có 'Xem khách hàng'</t>
  </si>
  <si>
    <t>1. Truy cập danh sách
 2. Quan sát action từng dòng</t>
  </si>
  <si>
    <t>User: chỉ quyền xem</t>
  </si>
  <si>
    <t>- Chỉ có nút 'Xem' trên mỗi dòng, KHÔNG có nút 'Sửa'</t>
  </si>
  <si>
    <t>HIỂN THỊ TRANG &amp; TRUY CẬP</t>
  </si>
  <si>
    <t>TC_01.001</t>
  </si>
  <si>
    <t>Load trang danh sách thành công</t>
  </si>
  <si>
    <t>User có quyền 'Xem khách hàng'; ERP có ≥1 KH trong phạm vi quyền</t>
  </si>
  <si>
    <t>1. Truy cậpDanh mục &gt;&gt; Khách hàng
 2. Quan sát layout</t>
  </si>
  <si>
    <t>User bất kỳ có quyền xem</t>
  </si>
  <si>
    <t>- Trang load với 2 khối: panel Bộ lọc (mặc định thu gọn) + bảng danh sách
 - KHÔNG có khối stats/thống kê đầu trang</t>
  </si>
  <si>
    <t>TC_01.002</t>
  </si>
  <si>
    <t>Hiển thị đủ các cột bảng danh sách</t>
  </si>
  <si>
    <t>Danh sách có ≥1 KH</t>
  </si>
  <si>
    <t>1. Truy cập danh sách
 2. Quan sát tiêu đề cột</t>
  </si>
  <si>
    <t>—</t>
  </si>
  <si>
    <t>- Cột theo thứ tự: STT | Mã KH - Tên khách hàng | Loại | MST | SĐT | Email | Nhóm KH | Địa chỉ | Tỉnh/TP | Trạng thái
 - Cell đầu có 2 nút inline: Xem, Sửa (Sửa chỉ khi có quyền)</t>
  </si>
  <si>
    <t>TC_01.003</t>
  </si>
  <si>
    <t>Bộ lọc mặc định thu gọn</t>
  </si>
  <si>
    <t>P2</t>
  </si>
  <si>
    <t>Truy cập lần đầu</t>
  </si>
  <si>
    <t>1. Vào màn hình
 2. Quan sát panel bộ lọc</t>
  </si>
  <si>
    <t>- Panel bộ lọc nâng cao ở trạng thái thu gọn (filterCollapsed=true)
 - Vẫn hiển thị ô tìm kiếm nhanh (keyword)</t>
  </si>
  <si>
    <t>TC_01.004</t>
  </si>
  <si>
    <t>Hiển thị cột SĐT và Nhóm KH là gạch ngang</t>
  </si>
  <si>
    <t>KH trong danh sách thực tế CÓ số điện thoại và nhóm KH</t>
  </si>
  <si>
    <t>1. Xem 1 dòng KH đã có SĐT/nhóm
 2. Quan sát cột SĐT, Nhóm KH</t>
  </si>
  <si>
    <t>KH có mobile=0901xxx, nhóm='KH lẻ'</t>
  </si>
  <si>
    <t>- Cột 'SĐT' hiển thị '-' và 'Nhóm KH' hiển thị '—' (hard-code ở resource)
 - Đây là hành vi đúng theo hiện trạng, không phải bug</t>
  </si>
  <si>
    <t>TC_01.005</t>
  </si>
  <si>
    <t>Pill trạng thái Hoạt động / Khóa</t>
  </si>
  <si>
    <t>ERP có KH status=1 và KH status≠1</t>
  </si>
  <si>
    <t>1. Quan sát cột Trạng thái</t>
  </si>
  <si>
    <t>KH A status=1; KH B status=0</t>
  </si>
  <si>
    <t>- KH A: pill 'Hoạt động' (xanh)
 - KH B: pill 'Khóa'</t>
  </si>
  <si>
    <t>TC_01.006</t>
  </si>
  <si>
    <t>Danh sách rỗng trong phạm vi quyền</t>
  </si>
  <si>
    <t>User có quyền cấp công ty nhưng công ty chưa có KH nào</t>
  </si>
  <si>
    <t>1. Truy cập danh sách</t>
  </si>
  <si>
    <t>User cty chưa có KH</t>
  </si>
  <si>
    <t>- Bảng hiển thị trạng thái rỗng (không có dòng dữ liệu), không lỗi</t>
  </si>
  <si>
    <t>BỘ LỌC &amp; TÌM KIẾM</t>
  </si>
  <si>
    <t>TC_02.001</t>
  </si>
  <si>
    <t>Tìm nhanh theo mã KH</t>
  </si>
  <si>
    <t>ERP có KH mã '65TPHPAN-24' trong phạm vi quyền</t>
  </si>
  <si>
    <t>1. Nhập '65TPHPAN-24' vào ô tìm nhanh
 2. Nhấn Enter (hoặc bấm Tìm)</t>
  </si>
  <si>
    <t>keyword = 65TPHPAN-24</t>
  </si>
  <si>
    <t>- Danh sách lọc còn KH có mã chứa '65TPHPAN-24 - CÔNG TY CHĂM SÓC SỨC KHỎE XE TRÍ ĐỨC'</t>
  </si>
  <si>
    <t>TC_02.002</t>
  </si>
  <si>
    <t>Tìm nhanh theo tên khách hàng</t>
  </si>
  <si>
    <t>ERP có KH tên 'CÔNG TY CHĂM SÓC SỨC KHỎE XE TRÍ ĐỨC'</t>
  </si>
  <si>
    <t>1. Nhập 'CÔNG TY CHĂM SÓC SỨC KHỎE XE TRÍ ĐỨC' vào ô tìm nhanh
 2. Nhấn Enter</t>
  </si>
  <si>
    <t>keyword = CÔNG TY CHĂM SÓC SỨC KHỎE XE TRÍ ĐỨC</t>
  </si>
  <si>
    <t>- Danh sách lọc còn KH có tên chứa '65TPHPAN-24 - CÔNG TY CHĂM SÓC SỨC KHỎE XE TRÍ ĐỨC'</t>
  </si>
  <si>
    <t>TC_02.005</t>
  </si>
  <si>
    <t>Lọc theo Công ty / Phòng ban / Nhân viên</t>
  </si>
  <si>
    <t>ERP có KH tạo bởi nhiều nhân viên thuộc nhiều công ty/phòng ban</t>
  </si>
  <si>
    <t>1. Mở bộ lọc nâng cao
 2. Chọn Công ty → Phòng ban → Nhân viên</t>
  </si>
  <si>
    <t>Công ty A, Phòng ban X</t>
  </si>
  <si>
    <t>- Danh sách lọc theo công ty/phòng ban/nhân viên đã chọn (part bị disable)</t>
  </si>
  <si>
    <t>TC_02.006</t>
  </si>
  <si>
    <t>Lọc theo Tỉnh/TP</t>
  </si>
  <si>
    <t>ERP có KH ở Hà Nội và TP.HCM</t>
  </si>
  <si>
    <t>1. Chọn Tỉnh/TP = Hà Nội</t>
  </si>
  <si>
    <t>province = Hà Nội</t>
  </si>
  <si>
    <t>- Danh sách còn KH thuộc Hà Nội</t>
  </si>
  <si>
    <t>TC_02.007</t>
  </si>
  <si>
    <t>Lọc theo Trạng thái</t>
  </si>
  <si>
    <t>ERP có KH Hoạt động và Khóa</t>
  </si>
  <si>
    <t>1. Chọn Trạng thái = Khóa</t>
  </si>
  <si>
    <t>status = 0</t>
  </si>
  <si>
    <t>- Danh sách còn KH có status ≠ 1</t>
  </si>
  <si>
    <t>- Danh sách còn KH có status ≠ 2</t>
  </si>
  <si>
    <t>TC_02.008</t>
  </si>
  <si>
    <t>Lọc theo MST / SĐT (ô gộp)</t>
  </si>
  <si>
    <t>ERP có KH MST '0101234567'</t>
  </si>
  <si>
    <t>1. Nhập '0101234567' vào ô MST/SĐT
 2. Nhấn Enter</t>
  </si>
  <si>
    <t>tax/phone = 0101234567</t>
  </si>
  <si>
    <t>- Danh sách lọc theo MST hoặc SĐT khớp</t>
  </si>
  <si>
    <t>TC_02.009</t>
  </si>
  <si>
    <t>Lọc Nhóm lĩnh vực KH (multi-select) + Lĩnh vực phụ thuộc</t>
  </si>
  <si>
    <t>ERP có nhóm lĩnh vực và lĩnh vực con</t>
  </si>
  <si>
    <t>1. Chọn ≥1 Nhóm lĩnh vực KH
 2. Quan sát dropdown Lĩnh vực KH</t>
  </si>
  <si>
    <t>Nhóm = 'Ô tô'</t>
  </si>
  <si>
    <t>- Dropdown Lĩnh vực KH chỉ còn lĩnh vực thuộc nhóm đã chọn (top-down)
 - Danh sách lọc tương ứng</t>
  </si>
  <si>
    <t>TC_02.010</t>
  </si>
  <si>
    <t>Lọc 'Khách hàng hãng' + Hãng xe + Cấp đại lý</t>
  </si>
  <si>
    <t>ERP có KH is_manufacturer=1 gắn hãng xe</t>
  </si>
  <si>
    <t>1. Bật lọc 'Khách hàng hãng'
 2. Chọn Hãng xe, Cấp đại lý</t>
  </si>
  <si>
    <t>is_manufacturer=1, hãng='Toyota'</t>
  </si>
  <si>
    <t>- Danh sách còn KH là khách hãng khớp hãng xe/cấp đại lý</t>
  </si>
  <si>
    <t>TC_02.011</t>
  </si>
  <si>
    <t>Lọc theo Người sửa gần nhất (editor)</t>
  </si>
  <si>
    <t>ERP có KH sửa bởi nhiều người</t>
  </si>
  <si>
    <t>1. Chọn Người sửa gần nhất = NV B</t>
  </si>
  <si>
    <t>editor_id = NV B</t>
  </si>
  <si>
    <t>- Danh sách còn KH có người sửa gần nhất là NV B</t>
  </si>
  <si>
    <t>TC_02.012</t>
  </si>
  <si>
    <t>Kết hợp nhiều filter</t>
  </si>
  <si>
    <t>ERP có dữ liệu đa dạng</t>
  </si>
  <si>
    <t>1. Chọn Tỉnh = Hà Nội + Trạng thái = Hoạt động + keyword 'CÔNG TY'
 2. Tìm</t>
  </si>
  <si>
    <t>province=HN, status=1, keyword=CÔNG TY</t>
  </si>
  <si>
    <t>- Danh sách thỏa ĐỒNG THỜI cả 3 điều kiện</t>
  </si>
  <si>
    <t>TC_02.013</t>
  </si>
  <si>
    <t>Xóa/Reset bộ lọc</t>
  </si>
  <si>
    <t>Đang áp dụng vài filter</t>
  </si>
  <si>
    <t>1. Bấm nút xóa lọc / reset
 2. Quan sát</t>
  </si>
  <si>
    <t>- Các filter về mặc định, danh sách trở lại toàn bộ KH trong phạm vi quyền</t>
  </si>
  <si>
    <t>TC_02.014</t>
  </si>
  <si>
    <t>Tìm kiếm không có kết quả</t>
  </si>
  <si>
    <t>Danh sách có KH</t>
  </si>
  <si>
    <t>1. Nhập keyword không tồn tại 'ZZZZZ999'
 2. Tìm</t>
  </si>
  <si>
    <t>keyword = ZZZZZ999</t>
  </si>
  <si>
    <t>- Bảng hiển thị rỗng, không lỗi</t>
  </si>
  <si>
    <t>DANH SÁCH / GRID DỮ LIỆU</t>
  </si>
  <si>
    <t>TC_04.001</t>
  </si>
  <si>
    <t>Phân trang chuyển trang</t>
  </si>
  <si>
    <t>ERP có &gt; 10 KH trong phạm vi quyền (vd 25 KH)</t>
  </si>
  <si>
    <t>1. Quan sát trang 1 (10 dòng)
 2. Bấm sang trang 2
 3. Bấm trang 3</t>
  </si>
  <si>
    <t xml:space="preserve">- Trang 1: 10 dòng, trang 2: 10 dòng, trang 3: 5 dòng
</t>
  </si>
  <si>
    <t>TC_04.002</t>
  </si>
  <si>
    <t>Đổi số dòng mỗi trang</t>
  </si>
  <si>
    <t>ERP có &gt; 20 KH</t>
  </si>
  <si>
    <t>1. Đổi per_page (vd 20)
 2. Quan sát</t>
  </si>
  <si>
    <t>- Bảng hiển thị tối đa 20 dòng/trang, phân trang tính lại</t>
  </si>
  <si>
    <t>CHỨC NĂNG CHÍNH (TẠO / SỬA / XEM)</t>
  </si>
  <si>
    <t>TC_05.001</t>
  </si>
  <si>
    <t>Tạo KH Cá nhân hợp lệ</t>
  </si>
  <si>
    <t xml:space="preserve">User có quyền 'Thêm', </t>
  </si>
  <si>
    <t>1. Bấm 'Tạo mới'
 2. Loại = Cá nhân
 3. Nhập Tên KH, Loại hình tổ chức, Nhóm + Lĩnh vực KH, Tên đơn vị, ≥1 SĐT đúng định dạng, địa chỉ (Quốc gia/Tỉnh/Phường)
 4. Bấm Lưu</t>
  </si>
  <si>
    <t>Tên='Nguyễn Văn A'; SĐT='0901234567'; Tỉnh='Hà Nội', Phường='Dịch Vọng'</t>
  </si>
  <si>
    <t>- Lưu thành công, ghi ERP customers (is_customer=1, status=1) + sync HRM
 - Mã KH tự sinh theo biển số tỉnh + viết tắt (vd 29...)
 - Quay về danh sách, KH mới xuất hiện</t>
  </si>
  <si>
    <t>TC_05.002</t>
  </si>
  <si>
    <t>Tạo KH Tổ chức (có MST) hợp lệ</t>
  </si>
  <si>
    <t>User có quyền thêm, map ERP employee</t>
  </si>
  <si>
    <t>1. Tạo mới, Loại = Doanh nghiệp tư nhân
 2. Nhập Tên KH, Loại hình, Nhóm+Lĩnh vực, MST hợp lệ, Địa chỉ xuất hóa đơn, ≥1 Người đại diện, ≥1 Người liên hệ (có ≥1 SĐT)
 3. Lưu</t>
  </si>
  <si>
    <t>Tên='CÔNG TY ABC'; MST='0101234567'; đại diện='Trần B' (GĐ); liên hệ='Lê C' (Kế toán, 0912345678)</t>
  </si>
  <si>
    <t>- Lưu thành công, ghi ERP + sync HRM
 - Tên KH được uppercase
 - Mã tự sinh, quay về danh sách</t>
  </si>
  <si>
    <t>TC_05.003</t>
  </si>
  <si>
    <t>Tạo KH Tổ chức có Công ty mẹ (MST không bắt buộc)</t>
  </si>
  <si>
    <t>User có quyền thêm; tồn tại 1 KH tổ chức làm công ty mẹ</t>
  </si>
  <si>
    <t>1. Tạo mới Loại tổ chức
 2. Chọn Công ty mẹ
 3. Bỏ trống MST
 4. Điền các trường bắt buộc còn lại
 5. Lưu</t>
  </si>
  <si>
    <t>Công ty mẹ='TẬP ĐOÀN X'; MST=trống</t>
  </si>
  <si>
    <t>- Lưu thành công, KHÔNG báo lỗi MST</t>
  </si>
  <si>
    <t>TC_05.004</t>
  </si>
  <si>
    <t>Form đổi section theo Loại KH</t>
  </si>
  <si>
    <t>Đang ở form tạo</t>
  </si>
  <si>
    <t>1. Chọn Loại = Cá nhân → quan sát
 2. Đổi Loại = Doanh nghiệp tư nhân → quan sát</t>
  </si>
  <si>
    <t>- Cá nhân: hiện section Thông tin cá nhân (CCCD, SĐT, ...), KHÔNG có người đại diện/liên hệ
 - Tổ chức: hiện Thông tin tổ chức + Người liên hệ (MST, đại diện, liên hệ)</t>
  </si>
  <si>
    <t>TC_05.005</t>
  </si>
  <si>
    <t>Tick 'Là khách hãng' bắt buộc chọn Hãng xe</t>
  </si>
  <si>
    <t>1. Tick 'Là khách hãng'
 2. Bỏ trống Hãng xe
 3. Điền trường khác hợp lệ
 4. Lưu</t>
  </si>
  <si>
    <t>is_manufacturer=1, Hãng xe=trống</t>
  </si>
  <si>
    <t>- BE trả 422, lỗi inline tại Hãng xe (bắt buộc khi là khách hãng)</t>
  </si>
  <si>
    <t>TC_05.006</t>
  </si>
  <si>
    <t>Nhóm và Lĩnh vực KH đồng bộ 2 chiều</t>
  </si>
  <si>
    <t>Form tạo, Nhóm có nhiều lĩnh vực con</t>
  </si>
  <si>
    <t>1. Chọn Nhóm lĩnh vực → quan sát Lĩnh vực
 2. Chọn lĩnh vực thuộc nhóm khác</t>
  </si>
  <si>
    <t>Nhóm='Ô tô'</t>
  </si>
  <si>
    <t>- Lĩnh vực chỉ cho chọn trong nhóm đã chọn; chọn lĩnh vực khác nhóm thì nhóm cập nhật theo (watch 2 chiều)</t>
  </si>
  <si>
    <t>TC_05.007</t>
  </si>
  <si>
    <t>Sửa KH — load đúng dữ liệu</t>
  </si>
  <si>
    <t>User có quyền sửa; tồn tại KH tổ chức đầy đủ thông tin</t>
  </si>
  <si>
    <t>1. Bấm 'Sửa' 1 KH
 2. Quan sát form</t>
  </si>
  <si>
    <t>KH 'CÔNG TY ABC'</t>
  </si>
  <si>
    <t>- Form load đủ: thông tin chung, MST, đại diện, liên hệ, lĩnh vực, địa chỉ, thêm section Địa chỉ giao hàng + Nhân viên phụ trách + Cấp đại lý (chỉ có khi sửa)</t>
  </si>
  <si>
    <t>TC_05.008</t>
  </si>
  <si>
    <t>Sửa KH — lưu giữ nguyên mã code</t>
  </si>
  <si>
    <t>User có quyền sửa; KH có mã '29HNHK'</t>
  </si>
  <si>
    <t>1. Sửa KH, đổi Tên KH
 2. Lưu
 3. Kiểm tra mã</t>
  </si>
  <si>
    <t>Mã cũ='29HNHK', tên mới='CÔNG TY ABC 2'</t>
  </si>
  <si>
    <t>- Lưu thành công, mã KH GIỮ NGUYÊN '29HNHK' (không sinh lại)
 - Tên cập nhật</t>
  </si>
  <si>
    <t>TC_05.009</t>
  </si>
  <si>
    <t>Sửa KH — thêm/xóa Người liên hệ (sync delete-then-insert)</t>
  </si>
  <si>
    <t>KH tổ chức có 2 người liên hệ</t>
  </si>
  <si>
    <t>1. Sửa KH, xóa 1 liên hệ, thêm 1 liên hệ mới
 2. Lưu
 3. Mở lại form</t>
  </si>
  <si>
    <t>Trước: 2 liên hệ; sau: 1 cũ + 1 mới</t>
  </si>
  <si>
    <t>- Sau lưu còn đúng 2 liên hệ (1 cũ giữ lại + 1 mới), không trùng</t>
  </si>
  <si>
    <t>TC_05.010</t>
  </si>
  <si>
    <t>Xem chi tiết KH (readonly)</t>
  </si>
  <si>
    <t>Tồn tại KH; user có quyền xem</t>
  </si>
  <si>
    <t>1. Bấm 'Xem' 1 KH
 2. Quan sát form</t>
  </si>
  <si>
    <t>KH bất kỳ</t>
  </si>
  <si>
    <t>- Form mở ở chế độ readonly (/assign/customers/{id}), các field bị disable, không có nút Lưu</t>
  </si>
  <si>
    <t>TC_05.011</t>
  </si>
  <si>
    <t>Mã KH không nhập tay</t>
  </si>
  <si>
    <t>1. Quan sát khu vực mã KH</t>
  </si>
  <si>
    <t>- Không có ô nhập mã KH (đã ẩn); mã sinh tự động khi Lưu</t>
  </si>
  <si>
    <t>TC_05.012</t>
  </si>
  <si>
    <t>Thêm địa chỉ giao hàng chỉ khi Sửa</t>
  </si>
  <si>
    <t>Form tạo và form sửa</t>
  </si>
  <si>
    <t>1. Mở form tạo → tìm section Địa chỉ giao hàng
 2. Mở form sửa → tìm section đó</t>
  </si>
  <si>
    <t>- Form tạo: KHÔNG có section Địa chỉ giao hàng
 - Form sửa: CÓ section Địa chỉ giao hàng</t>
  </si>
  <si>
    <t>EDGE CASES &amp; VALIDATION</t>
  </si>
  <si>
    <t>TC_06.001</t>
  </si>
  <si>
    <t>Bỏ trống Tên KH</t>
  </si>
  <si>
    <t>Form tạo</t>
  </si>
  <si>
    <t>1. Bỏ trống Tên KH, điền trường khác
 2. Lưu</t>
  </si>
  <si>
    <t>fullname = trống</t>
  </si>
  <si>
    <t>- BE 422, lỗi inline 'Bắt buộc phải nhập' tại Tên KH (viền đỏ)</t>
  </si>
  <si>
    <t>TC_06.002</t>
  </si>
  <si>
    <t>Cá nhân — bỏ trống SĐT</t>
  </si>
  <si>
    <t>Form tạo, Loại = Cá nhân</t>
  </si>
  <si>
    <t>1. Không nhập SĐT nào
 2. Điền trường khác
 3. Lưu</t>
  </si>
  <si>
    <t>phones = []</t>
  </si>
  <si>
    <t>- BE 422, lỗi inline tại SĐT (cần ≥1 SĐT)</t>
  </si>
  <si>
    <t>TC_06.003</t>
  </si>
  <si>
    <t>Cá nhân — SĐT sai định dạng</t>
  </si>
  <si>
    <t>1. Nhập SĐT '123' (sai)
 2. Lưu</t>
  </si>
  <si>
    <t>phones[0] = '123'</t>
  </si>
  <si>
    <t>- BE 422, lỗi 'Số điện thoại không đúng định dạng' tại SĐT</t>
  </si>
  <si>
    <t>TC_06.004</t>
  </si>
  <si>
    <t>Tổ chức — bỏ trống MST khi không có công ty mẹ</t>
  </si>
  <si>
    <t>Form tạo, Loại tổ chức, không chọn công ty mẹ</t>
  </si>
  <si>
    <t>1. Bỏ trống MST
 2. Lưu</t>
  </si>
  <si>
    <t>tax_code=trống, parent_id=null</t>
  </si>
  <si>
    <t>- BE 422, lỗi 'Bắt buộc phải nhập' tại MST</t>
  </si>
  <si>
    <t>TC_06.005</t>
  </si>
  <si>
    <t>Tổ chức — MST sai định dạng</t>
  </si>
  <si>
    <t>Form tạo, Loại tổ chức</t>
  </si>
  <si>
    <t>1. Nhập MST 'ABC@123' (có ký tự lạ)
 2. Lưu</t>
  </si>
  <si>
    <t>tax_code='ABC@123'</t>
  </si>
  <si>
    <t>- BE 422, lỗi định dạng MST</t>
  </si>
  <si>
    <t>TC_06.006</t>
  </si>
  <si>
    <t>Tổ chức — không có Người đại diện</t>
  </si>
  <si>
    <t>1. Xóa hết người đại diện
 2. Lưu</t>
  </si>
  <si>
    <t>deputies = []</t>
  </si>
  <si>
    <t>- BE 422, lỗi tại Người đại diện (cần ≥1)</t>
  </si>
  <si>
    <t>TC_06.007</t>
  </si>
  <si>
    <t>Tổ chức — Người đại diện thiếu Tên hoặc Chức vụ</t>
  </si>
  <si>
    <t>1. Thêm đại diện chỉ điền Tên, bỏ Chức vụ
 2. Lưu</t>
  </si>
  <si>
    <t>deputies.0.role=trống</t>
  </si>
  <si>
    <t>- BE 422, lỗi inline tại deputies.0.role</t>
  </si>
  <si>
    <t>TC_06.008</t>
  </si>
  <si>
    <t>Tổ chức — không có Người liên hệ</t>
  </si>
  <si>
    <t>1. Xóa hết người liên hệ
 2. Lưu</t>
  </si>
  <si>
    <t>contacts = []</t>
  </si>
  <si>
    <t>- BE 422, lỗi tại Người liên hệ (cần ≥1)</t>
  </si>
  <si>
    <t>TC_06.009</t>
  </si>
  <si>
    <t>Tổ chức — Người liên hệ thiếu SĐT</t>
  </si>
  <si>
    <t>1. Thêm liên hệ có Họ tên + Chức vụ nhưng không SĐT
 2. Lưu</t>
  </si>
  <si>
    <t>contacts.0.phones=[]</t>
  </si>
  <si>
    <t>- BE 422, lỗi inline tại contacts.0.phones</t>
  </si>
  <si>
    <t>TC_06.010</t>
  </si>
  <si>
    <t>Tổ chức — bỏ trống Địa chỉ xuất hóa đơn</t>
  </si>
  <si>
    <t>1. Bỏ trống Địa chỉ xuất hóa đơn
 2. Lưu</t>
  </si>
  <si>
    <t>invoice_export_address=trống</t>
  </si>
  <si>
    <t>- BE 422, lỗi tại Địa chỉ xuất hóa đơn</t>
  </si>
  <si>
    <t>TC_06.011</t>
  </si>
  <si>
    <t>Bỏ trống địa chỉ bắt buộc (Quốc gia/Tỉnh/Phường)</t>
  </si>
  <si>
    <t>1. Bỏ trống Tỉnh/TP (hoặc Phường/Quốc gia)
 2. Lưu</t>
  </si>
  <si>
    <t>province_id=null</t>
  </si>
  <si>
    <t>- BE 422, lỗi tại trường địa chỉ tương ứng</t>
  </si>
  <si>
    <t>TC_06.012</t>
  </si>
  <si>
    <t>Bỏ trống Nhóm hoặc Lĩnh vực KH</t>
  </si>
  <si>
    <t>1. Bỏ trống Nhóm lĩnh vực (hoặc không chọn lĩnh vực nào)
 2. Lưu</t>
  </si>
  <si>
    <t>customer_scope_group_id=null / customer_scope_ids=[]</t>
  </si>
  <si>
    <t>- BE 422, lỗi tại Nhóm / Lĩnh vực KH</t>
  </si>
  <si>
    <t>TC_06.013</t>
  </si>
  <si>
    <t>Lĩnh vực không thuộc Nhóm đã chọn</t>
  </si>
  <si>
    <t>Form tạo (giả lập payload lĩnh vực sai nhóm)</t>
  </si>
  <si>
    <t>1. Gửi customer_scope_ids chứa lĩnh vực thuộc nhóm khác
 2. Lưu</t>
  </si>
  <si>
    <t>scope_ids không thuộc group</t>
  </si>
  <si>
    <t>- BE 422, lỗi lĩnh vực không hợp lệ</t>
  </si>
  <si>
    <t>TC_06.014</t>
  </si>
  <si>
    <t>Email trùng (unique ERP)</t>
  </si>
  <si>
    <t>ERP đã có KH email 'a@abc.com'</t>
  </si>
  <si>
    <t>1. Tạo KH mới nhập email 'a@abc.com'
 2. Lưu</t>
  </si>
  <si>
    <t>email='a@abc.com' (đã tồn tại)</t>
  </si>
  <si>
    <t>- BE 422, lỗi 'Email đã tồn tại'</t>
  </si>
  <si>
    <t>TC_06.015</t>
  </si>
  <si>
    <t>MST trùng (unique ERP)</t>
  </si>
  <si>
    <t>ERP đã có KH MST '0101234567'</t>
  </si>
  <si>
    <t>1. Tạo KH tổ chức nhập MST '0101234567'
 2. Lưu</t>
  </si>
  <si>
    <t>tax_code='0101234567' (đã tồn tại)</t>
  </si>
  <si>
    <t>- BE 422, lỗi 'Mã số thuế đã tồn tại'</t>
  </si>
  <si>
    <t>TC_06.016</t>
  </si>
  <si>
    <t>CCCD trùng (unique ERP)</t>
  </si>
  <si>
    <t>ERP đã có KH CCCD '012345678901'</t>
  </si>
  <si>
    <t>1. Tạo KH cá nhân nhập CCCD '012345678901'
 2. Lưu</t>
  </si>
  <si>
    <t>identity_card_number trùng</t>
  </si>
  <si>
    <t>- BE 422, lỗi 'Số CMND/CCCD đã tồn tại'</t>
  </si>
  <si>
    <t>TC_06.017</t>
  </si>
  <si>
    <t>Email sai định dạng</t>
  </si>
  <si>
    <t>1. Nhập email 'abc@' (sai)
 2. Lưu</t>
  </si>
  <si>
    <t>email='abc@'</t>
  </si>
  <si>
    <t>- BE 422, lỗi định dạng email</t>
  </si>
  <si>
    <t>TC_06.018</t>
  </si>
  <si>
    <t>Sửa KH — unique loại trừ chính bản ghi</t>
  </si>
  <si>
    <t>KH 'CÔNG TY ABC' có email 'a@abc.com'</t>
  </si>
  <si>
    <t>1. Sửa chính KH này, giữ nguyên email 'a@abc.com'
 2. Lưu</t>
  </si>
  <si>
    <t>email không đổi</t>
  </si>
  <si>
    <t>- Lưu thành công, KHÔNG báo trùng email với chính nó</t>
  </si>
  <si>
    <t>TC_06.019</t>
  </si>
  <si>
    <t>Lưu thất bại — hiển thị toast + lỗi inline</t>
  </si>
  <si>
    <t>Form tạo thiếu nhiều trường bắt buộc</t>
  </si>
  <si>
    <t>1. Để trống nhiều trường
 2. Lưu</t>
  </si>
  <si>
    <t>- Toast 'Bạn chưa nhập đầy đủ thông tin'
 - Mọi field lỗi có viền đỏ + text lỗi inline (icon warning)</t>
  </si>
  <si>
    <t>Update 03/08/2026</t>
  </si>
  <si>
    <r>
      <rPr>
        <rFont val="Times New Roman"/>
        <sz val="12.0"/>
      </rPr>
      <t xml:space="preserve">Task: </t>
    </r>
    <r>
      <rPr>
        <rFont val="Times New Roman"/>
        <color rgb="FF1155CC"/>
        <sz val="12.0"/>
        <u/>
      </rPr>
      <t>http://quanly.dnsmedia.vn/issues/10876</t>
    </r>
  </si>
  <si>
    <t>Dropdown có hỗ trợ tìm kiếm</t>
  </si>
  <si>
    <t>TC_06.020</t>
  </si>
  <si>
    <t>Kiểm tra focus khi mở dropdown Loại hình hoạt động</t>
  </si>
  <si>
    <t>User có quyền thao tác trên màn hình có dropdown tìm kiếm</t>
  </si>
  <si>
    <t>1. Mở màn hình có trường Loại hình hoạt động.2. Click mở dropdown.</t>
  </si>
  <si>
    <t>-</t>
  </si>
  <si>
    <t>Con trỏ tự động focus vào ô Search, có thể nhập dữ liệu ngay mà không cần click thêm.</t>
  </si>
  <si>
    <t>P</t>
  </si>
  <si>
    <t>TC_06.021</t>
  </si>
  <si>
    <t>Kiểm tra focus khi mở dropdown Lĩnh vực kinh doanh</t>
  </si>
  <si>
    <t>User có quyền thao tác</t>
  </si>
  <si>
    <t>Mở dropdown Lĩnh vực kinh doanh.</t>
  </si>
  <si>
    <t>Con trỏ tự động focus vào ô Search.</t>
  </si>
  <si>
    <t>TC_06.022</t>
  </si>
  <si>
    <t>Kiểm tra nhập từ khóa ngay sau khi mở dropdown</t>
  </si>
  <si>
    <t>Dropdown có dữ liệu</t>
  </si>
  <si>
    <t>1. Mở dropdown.2. Gõ từ khóa ngay mà không click vào ô Search.</t>
  </si>
  <si>
    <t>"Hà Nội"</t>
  </si>
  <si>
    <t>Từ khóa được nhập vào ô Search và danh sách được lọc đúng.</t>
  </si>
  <si>
    <t>TC_06.023</t>
  </si>
  <si>
    <t>Kiểm tra focus trên tất cả dropdown tìm kiếm</t>
  </si>
  <si>
    <t>User có quyền truy cập tất cả màn hình</t>
  </si>
  <si>
    <t>Truy cập vào tất cả màn hình có bộ lọc</t>
  </si>
  <si>
    <t>Tất cả dropdown đều tự động focus vào ô Search khi mở.</t>
  </si>
  <si>
    <t>TC_06.024</t>
  </si>
  <si>
    <t>Kiểm tra đóng và mở lại dropdown</t>
  </si>
  <si>
    <t>Dropdown có Search</t>
  </si>
  <si>
    <t>1. Mở dropdown.2. Đóng.3. Mở lại.</t>
  </si>
  <si>
    <t>Mỗi lần mở lại, ô Search đều tự động được focus.</t>
  </si>
  <si>
    <t>TC_06.025</t>
  </si>
  <si>
    <t>Kiểm tra focus bằng bàn phím</t>
  </si>
  <si>
    <t>Dropdown hỗ trợ thao tác bàn phím</t>
  </si>
  <si>
    <t>1. Click Tab đến ô dropdown 2. Enter</t>
  </si>
  <si>
    <t>Dropdown mở ra và ô Search tự động được focus.</t>
  </si>
  <si>
    <t>TC_06.026</t>
  </si>
  <si>
    <t>Kiểm tra focus sau khi chọn một giá trị</t>
  </si>
  <si>
    <t>1. Mở dropdown.2. Tìm kiếm và chọn một giá trị.3. Mở lại dropdown.</t>
  </si>
  <si>
    <t>Khi mở lại dropdown, ô Search tiếp tục được tự động focus.</t>
  </si>
  <si>
    <r>
      <rPr>
        <rFont val="Times New Roman"/>
        <sz val="12.0"/>
      </rPr>
      <t xml:space="preserve">Task: </t>
    </r>
    <r>
      <rPr>
        <rFont val="Times New Roman"/>
        <color rgb="FF1155CC"/>
        <sz val="12.0"/>
        <u/>
      </rPr>
      <t>http://quanly.dnsmedia.vn/issues/10617</t>
    </r>
  </si>
  <si>
    <t>Màn Quản lý khách hàng</t>
  </si>
  <si>
    <t>TC_07.001</t>
  </si>
  <si>
    <t>Nút tại trường Tên KH hiển thị khi có quyền 'Xem khách hàng'</t>
  </si>
  <si>
    <t>User có quyền ERP 'Xem khách hàng'; danh sách có ≥ 1 KH</t>
  </si>
  <si>
    <t>1. Vào Danh mục &gt;&gt; Khách hàng
2. Quan sát cột Tên khách hàng</t>
  </si>
  <si>
    <t>- Tại cột Tên KH hiển thị nút Quản lý
- Tooltip/con trỏ dạng pointer</t>
  </si>
  <si>
    <t>TC_07.002</t>
  </si>
  <si>
    <t>Không có quyền 'Xem khách hàng' — nút tại Tên KH ẩn</t>
  </si>
  <si>
    <t>User KHÔNG có quyền ERP 'Xem khách hàng'</t>
  </si>
  <si>
    <t>- Không vào được màn danh sách KH (bị chặn) HOẶC nếu vào được thì không hiển thị nút Quản lý</t>
  </si>
  <si>
    <t>TC_07.003</t>
  </si>
  <si>
    <t>Click nút Quản lý→ điều hướng màn Quản lý khách hàng</t>
  </si>
  <si>
    <t>User có quyền 'Xem khách hàng'; KH 'CÔNG TY ABC' id = 123</t>
  </si>
  <si>
    <t>1. Vào danh sách KH
2. Click vào nút Quản lý dưới tên KH 'CÔNG TY ABC'</t>
  </si>
  <si>
    <t>customer id = 123</t>
  </si>
  <si>
    <t>- Điều hướng tới /assign/customers/123/manager
- Tiêu đề trang = 'Quản lý khách hàng'
- Tab mặc định = 'Thông tin chung', dữ liệu KH 123 được load đúng</t>
  </si>
  <si>
    <t>TC_07.004</t>
  </si>
  <si>
    <t>Mở màn Quản lý KH ở tab trình duyệt mới</t>
  </si>
  <si>
    <t>1. Ctrl/Cmd + Click vào nút Quản lý (hoặc chuột phải &gt;&gt; Mở tab mới)</t>
  </si>
  <si>
    <t>- Mở tab mới đúng URL /assign/customers/123/manager
- Tab hiện tại giữ nguyên danh sách + bộ lọc</t>
  </si>
  <si>
    <t>TC_07.005</t>
  </si>
  <si>
    <t>Truy cập thẳng URL màn Quản lý KH khi không có quyền xem</t>
  </si>
  <si>
    <t>Copy URL /assign/customers/123/manager từ tài khoản có quyền; đăng nhập tài khoản không có quyền 'Xem khách hàng'</t>
  </si>
  <si>
    <t>1. Dán URL /assign/customers/123/manager vào trình duyệt
2. Enter</t>
  </si>
  <si>
    <t>User: không có quyền xem KH</t>
  </si>
  <si>
    <t>- Bị chặn không hiển thị bất kỳ thông tin KH nào 
- Toast 'Bạn không có quyền xem khách hàng'
- Điều hướng về trang 404</t>
  </si>
  <si>
    <t>TC_07.006</t>
  </si>
  <si>
    <t>Truy cập thẳng URL Thêm KH khi không có quyền 'Thêm khách hàng'</t>
  </si>
  <si>
    <t>User có 'Xem khách hàng', KHÔNG có 'Thêm khách hàng'</t>
  </si>
  <si>
    <t>1. Truy cập /assign/customers/add</t>
  </si>
  <si>
    <t>- Toast 'Bạn không có quyền thêm khách hàng'
- Redirect về /assign/customers</t>
  </si>
  <si>
    <t>TC_07.007</t>
  </si>
  <si>
    <t>Truy cập thẳng URL Sửa KH khi không có quyền 'Sửa khách hàng'</t>
  </si>
  <si>
    <t>User có 'Xem khách hàng', KHÔNG có 'Sửa khách hàng'</t>
  </si>
  <si>
    <t>1. Truy cập /assign/customers/123/edit</t>
  </si>
  <si>
    <t>- Toast 'Bạn không có quyền sửa khách hàng'
- Redirect về /assign/customers/123 (chỉ xem)</t>
  </si>
  <si>
    <t>TC_07.008</t>
  </si>
  <si>
    <t>Có quyền Xem, không có quyền Sửa — toàn bộ trường  chỉ đọc</t>
  </si>
  <si>
    <t>User có 'Xem khách hàng', KHÔNG có 'Sửa khách hàng'; đang ở màn Quản lý KH 123</t>
  </si>
  <si>
    <t>1. Mở màn Quản lý KH
2. Thử click/nhập vào Tên KH, SĐT, Email, Địa chỉ, Nhóm/Lĩnh vực KH
3. Quan sát nút Lưu</t>
  </si>
  <si>
    <t>- Mọi input/select/datepicker ở trạng thái disabled, không nhập được
- Không có nút thêm/xóa dòng (SĐT, người đại diện, người liên hệ)
- Nút 'Lưu' ẩn hoặc disable</t>
  </si>
  <si>
    <t>TC_07.009</t>
  </si>
  <si>
    <t>Có quyền Sửa — các trường cho phép chỉnh sửa</t>
  </si>
  <si>
    <t>User có 'Xem khách hàng' + 'Sửa khách hàng'; đang ở màn Quản lý KH 123</t>
  </si>
  <si>
    <t>1. Mở màn Quản lý KH
2. Nhập lại Tên KH, thêm 1 SĐT
3. Quan sát nút Lưu</t>
  </si>
  <si>
    <t>User: quyền xem + sửa</t>
  </si>
  <si>
    <t>- Các trường được phân quyền sửa cho nhập bình thường
- Nút thêm/xóa dòng hiển thị
- Nút 'Lưu' hiển thị và bấm được</t>
  </si>
  <si>
    <t>TC_07.011</t>
  </si>
  <si>
    <t>Cấu trúc tab màn Quản lý KH</t>
  </si>
  <si>
    <t>1. Mở màn Quản lý KH
2. Quan sát thanh tab</t>
  </si>
  <si>
    <t>- Hiển thị đủ 5 tab đúng thứ tự: Thông tin chung, Báo giá, Hợp đồng, Danh sách trang thiết bị, Thông tin khác
- Tab 'Thông tin chung' active mặc định</t>
  </si>
  <si>
    <t>TC_07.012</t>
  </si>
  <si>
    <t>Tab Thông tin chung — dữ liệu đọc từ ERP đúng</t>
  </si>
  <si>
    <t>KH 123 trên ERP: Tên 'CÔNG TY ABC', MST 0101234567, Nhóm KH 'Doanh nghiệp'</t>
  </si>
  <si>
    <t>1. Mở tab Thông tin chung
2. Đối chiếu từng trường với dữ liệu ERP</t>
  </si>
  <si>
    <t>- Tên/MST/Loại KH/Nhóm-Lĩnh vực/Địa chỉ/Người phụ trách hiển thị đúng giá trị đang lưu trên ERP
- Không có trường nào rỗng sai lệch so với ERP</t>
  </si>
  <si>
    <t>TC_07.013</t>
  </si>
  <si>
    <t>Tab Thông tin liên hệ hiển thị đúng</t>
  </si>
  <si>
    <t>KH 123 có 2 người liên hệ, 1 người đại diện</t>
  </si>
  <si>
    <t>1. Chuyển sang tab Thông tin liên hệ
2. Quan sát</t>
  </si>
  <si>
    <t>- Liệt kê đủ thông tin đã set
- Nếu không có quyền Sửa: các dòng ở chế độ chỉ đọc</t>
  </si>
  <si>
    <t>TC_07.014</t>
  </si>
  <si>
    <t>Tab Báo giá / Hợp đồng — cần quyền 'Xem khách hàng'</t>
  </si>
  <si>
    <t>KH 123 có 3 báo giá, 2 hợp đồng</t>
  </si>
  <si>
    <t>1. Mở tab Báo giá
2. Mở tab Hợp đồng
3. Bấm Xuất Excel (nếu có)</t>
  </si>
  <si>
    <t>- Tải đúng 3 báo giá / 2 hợp đồng của KH 123
- Không lẫn dữ liệu KH khác
- Xuất Excel tải file thành công</t>
  </si>
  <si>
    <t>TC_07.015</t>
  </si>
  <si>
    <t>Tab Danh sách trang thiết bị — thao tác serial cần quyền Sửa</t>
  </si>
  <si>
    <t>KH 123 có ≥ 1 thiết bị/serial; user chỉ có quyền Xem</t>
  </si>
  <si>
    <t>1. Mở tab Danh sách trang thiết bị
2. Thử các nút Sửa serial / Đổi serial / Xóa serial / Tăng số lượng</t>
  </si>
  <si>
    <t>- Xem được danh sách thiết bị
- Các nút thao tác (sửa/đổi/xóa serial, tăng số lượng) ẩn hoặc disable
- Nếu gọi API trực tiếp → BE trả 403</t>
  </si>
  <si>
    <t>TC_07.016</t>
  </si>
  <si>
    <t>Tab Thông tin khác — upload ảnh/tài liệu cần quyền Sửa</t>
  </si>
  <si>
    <t>User chỉ có quyền Xem</t>
  </si>
  <si>
    <t>1. Mở tab Thông tin khác
2. Thử upload ảnh / xóa file</t>
  </si>
  <si>
    <t>file: anh_kh.jpg</t>
  </si>
  <si>
    <t>- Nút upload/xóa file ẩn hoặc disable
- Gọi thẳng API upload-image / media → 403</t>
  </si>
  <si>
    <t>TC_07.019</t>
  </si>
  <si>
    <t>Bypass UI — gọi API Lưu khi không có quyền Sửa</t>
  </si>
  <si>
    <t>User chỉ có quyền 'Xem khách hàng'; có JWT hợp lệ</t>
  </si>
  <si>
    <t>1. Dùng Postman gọi POST /api/v1/assign/customers/123 với payload hợp lệ
2. Quan sát response + dữ liệu ERP</t>
  </si>
  <si>
    <t>POST /assign/customers/123</t>
  </si>
  <si>
    <t>- BE trả 403 Forbidden
- KHÔNG có thay đổi nào trên bản ghi ERP</t>
  </si>
  <si>
    <t>TC_07.020</t>
  </si>
  <si>
    <t>Bypass UI — gọi API xem chi tiết KH khi không có quyền Xem</t>
  </si>
  <si>
    <t>User KHÔNG có quyền 'Xem khách hàng'; có JWT hợp lệ</t>
  </si>
  <si>
    <t>1. Postman gọi GET /api/v1/assign/customers/123
2. Gọi GET /api/v1/assign/customers/123/documents</t>
  </si>
  <si>
    <t>GET /assign/customers/123</t>
  </si>
  <si>
    <t>- BE trả 403 Forbidden cho cả 2 request
- Không lộ bất kỳ trường dữ liệu KH nào trong response</t>
  </si>
  <si>
    <t>TC_07.021</t>
  </si>
  <si>
    <t>API my-permissions trả đúng quyền của user hiện tại</t>
  </si>
  <si>
    <t>3 tài khoản: (a) chỉ xem, (b) xem+sửa, (c) không quyền</t>
  </si>
  <si>
    <t>1. Với từng tài khoản gọi GET /api/v1/assign/customers/my-permissions</t>
  </si>
  <si>
    <t>3 user như tiền điều kiện</t>
  </si>
  <si>
    <t>- (a) {view:true, create:false, edit:false}
- (b) {view:true, edit:true}
- (c) {view:false, create:false, edit:false}
- FE hiển thị/ẩn nút đúng theo response</t>
  </si>
  <si>
    <t>TC_07.022</t>
  </si>
  <si>
    <t>Thu hồi quyền Sửa khi user đang mở màn hình</t>
  </si>
  <si>
    <t>User đang mở màn Quản lý KH 123 với quyền Sửa</t>
  </si>
  <si>
    <t>1. Admin gỡ quyền 'Sửa khách hàng' của user trên ERP
2. User (không reload) sửa 1 trường và bấm 'Lưu'</t>
  </si>
  <si>
    <t>Gỡ quyền lúc form đang mở</t>
  </si>
  <si>
    <t>- BE trả 403, toast báo không có quyền
- Dữ liệu không bị ghi
- Reload lại: form về chế độ chỉ đọc</t>
  </si>
  <si>
    <t>TC_07.023</t>
  </si>
  <si>
    <t>Truy cập màn Quản lý KH với id không tồn tại</t>
  </si>
  <si>
    <t>User có quyền Xem</t>
  </si>
  <si>
    <t>1. Truy cập /assign/customers/99999999/manager</t>
  </si>
  <si>
    <t>id = 99999999</t>
  </si>
  <si>
    <t>Quay lại màn hình danh sách, k bị crash trang</t>
  </si>
  <si>
    <t>TC_07.025</t>
  </si>
  <si>
    <t>Hai user cùng sửa 1 KH (đồng thời)</t>
  </si>
  <si>
    <t>User A và User B cùng mở KH 123 với quyền Sửa</t>
  </si>
  <si>
    <t>1. A sửa Tên KH và Lưu
2. B (không reload) sửa SĐT và Lưu
3. Kiểm tra dữ liệu ERP</t>
  </si>
  <si>
    <t>2 phiên song song</t>
  </si>
  <si>
    <t>- Cả 2 lần Lưu đều trả kết quả rõ ràng
- Dữ liệu ERP không bị mất trường của người lưu trước một cách âm thầm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</si>
</sst>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</font>
    <font>
      <sz val="12.0"/>
      <color theme="1"/>
      <name val="Times New Roman"/>
    </font>
    <font/>
    <font>
      <b/>
      <sz val="15.0"/>
      <color rgb="FFFFFFFF"/>
      <name val="Times New Roman"/>
    </font>
    <font>
      <color theme="1"/>
      <name val="Arial"/>
      <scheme val="minor"/>
    </font>
    <font>
      <b/>
      <sz val="12.0"/>
      <color rgb="FF1F4E79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6E4F0"/>
        <bgColor rgb="FFD6E4F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ill="1" applyFont="1">
      <alignment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5" fontId="3" numFmtId="0" xfId="0" applyAlignment="1" applyFill="1" applyFont="1">
      <alignment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0" fillId="6" fontId="3" numFmtId="0" xfId="0" applyAlignment="1" applyFill="1" applyFont="1">
      <alignment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0" fillId="7" fontId="3" numFmtId="0" xfId="0" applyAlignment="1" applyFill="1" applyFont="1">
      <alignment shrinkToFit="0" vertical="center" wrapText="1"/>
    </xf>
    <xf borderId="2" fillId="7" fontId="1" numFmtId="0" xfId="0" applyAlignment="1" applyBorder="1" applyFont="1">
      <alignment horizontal="center" shrinkToFit="0" vertical="center" wrapText="1"/>
    </xf>
    <xf borderId="0" fillId="8" fontId="3" numFmtId="0" xfId="0" applyAlignment="1" applyFill="1" applyFont="1">
      <alignment shrinkToFit="0" vertical="center" wrapText="1"/>
    </xf>
    <xf borderId="2" fillId="8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shrinkToFit="0" vertical="center" wrapText="1"/>
    </xf>
    <xf borderId="2" fillId="5" fontId="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" fillId="9" fontId="2" numFmtId="0" xfId="0" applyAlignment="1" applyBorder="1" applyFill="1" applyFont="1">
      <alignment shrinkToFit="0" vertical="center" wrapText="1"/>
    </xf>
    <xf borderId="2" fillId="9" fontId="7" numFmtId="0" xfId="0" applyAlignment="1" applyBorder="1" applyFont="1">
      <alignment shrinkToFit="0" vertical="center" wrapText="1"/>
    </xf>
    <xf borderId="0" fillId="10" fontId="2" numFmtId="0" xfId="0" applyAlignment="1" applyFill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5" fontId="2" numFmtId="0" xfId="0" applyAlignment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0" fillId="11" fontId="1" numFmtId="0" xfId="0" applyAlignment="1" applyFill="1" applyFont="1">
      <alignment shrinkToFit="0" vertical="center" wrapText="1"/>
    </xf>
    <xf borderId="0" fillId="11" fontId="2" numFmtId="0" xfId="0" applyAlignment="1" applyFont="1">
      <alignment shrinkToFit="0" vertical="center" wrapText="1"/>
    </xf>
    <xf borderId="0" fillId="11" fontId="8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12" fontId="1" numFmtId="0" xfId="0" applyAlignment="1" applyFill="1" applyFont="1">
      <alignment shrinkToFit="0" vertical="center" wrapText="1"/>
    </xf>
    <xf borderId="0" fillId="12" fontId="2" numFmtId="0" xfId="0" applyAlignment="1" applyFont="1">
      <alignment shrinkToFit="0" vertical="center" wrapText="1"/>
    </xf>
    <xf borderId="0" fillId="12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uanly.dnsmedia.vn/issues/10876" TargetMode="External"/><Relationship Id="rId2" Type="http://schemas.openxmlformats.org/officeDocument/2006/relationships/hyperlink" Target="http://quanly.dnsmedia.vn/issues/1061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7.13"/>
    <col customWidth="1" min="4" max="4" width="26.63"/>
    <col customWidth="1" min="5" max="5" width="9.0"/>
    <col customWidth="1" min="6" max="6" width="22.75"/>
    <col customWidth="1" min="7" max="7" width="18.63"/>
    <col customWidth="1" min="9" max="9" width="43.88"/>
    <col customWidth="1" min="10" max="10" width="41.63"/>
  </cols>
  <sheetData>
    <row r="1">
      <c r="A1" s="1" t="s">
        <v>0</v>
      </c>
      <c r="O1" s="2"/>
      <c r="P1" s="2"/>
      <c r="Q1" s="2"/>
      <c r="R1" s="2"/>
      <c r="S1" s="2"/>
      <c r="T1" s="2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2"/>
      <c r="P2" s="2"/>
      <c r="Q2" s="2"/>
      <c r="R2" s="2"/>
      <c r="S2" s="2"/>
      <c r="T2" s="2"/>
    </row>
    <row r="3">
      <c r="A3" s="3" t="s">
        <v>3</v>
      </c>
      <c r="B3" s="4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2"/>
      <c r="P3" s="2"/>
      <c r="Q3" s="2"/>
      <c r="R3" s="2"/>
      <c r="S3" s="2"/>
      <c r="T3" s="2"/>
    </row>
    <row r="4">
      <c r="A4" s="3" t="s">
        <v>5</v>
      </c>
      <c r="B4" s="4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"/>
      <c r="P4" s="2"/>
      <c r="Q4" s="2"/>
      <c r="R4" s="2"/>
      <c r="S4" s="2"/>
      <c r="T4" s="2"/>
    </row>
    <row r="5">
      <c r="A5" s="3" t="s">
        <v>7</v>
      </c>
      <c r="B5" s="4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2"/>
      <c r="P5" s="2"/>
      <c r="Q5" s="2"/>
      <c r="R5" s="2"/>
      <c r="S5" s="2"/>
      <c r="T5" s="2"/>
    </row>
    <row r="6">
      <c r="A6" s="3" t="s">
        <v>9</v>
      </c>
      <c r="B6" s="4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2"/>
      <c r="P6" s="2"/>
      <c r="Q6" s="2"/>
      <c r="R6" s="2"/>
      <c r="S6" s="2"/>
      <c r="T6" s="2"/>
    </row>
    <row r="7">
      <c r="A7" s="3" t="s">
        <v>11</v>
      </c>
      <c r="B7" s="4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2"/>
      <c r="P7" s="2"/>
      <c r="Q7" s="2"/>
      <c r="R7" s="2"/>
      <c r="S7" s="2"/>
      <c r="T7" s="2"/>
    </row>
    <row r="8">
      <c r="A8" s="3" t="s">
        <v>13</v>
      </c>
      <c r="B8" s="4" t="s">
        <v>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2"/>
      <c r="P8" s="2"/>
      <c r="Q8" s="2"/>
      <c r="R8" s="2"/>
      <c r="S8" s="2"/>
      <c r="T8" s="2"/>
    </row>
    <row r="9">
      <c r="A9" s="3" t="s">
        <v>15</v>
      </c>
      <c r="B9" s="4" t="s">
        <v>16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2"/>
      <c r="P9" s="2"/>
      <c r="Q9" s="2"/>
      <c r="R9" s="2"/>
      <c r="S9" s="2"/>
      <c r="T9" s="2"/>
    </row>
    <row r="10">
      <c r="A10" s="3" t="s">
        <v>17</v>
      </c>
      <c r="B10" s="4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2"/>
      <c r="P10" s="2"/>
      <c r="Q10" s="2"/>
      <c r="R10" s="2"/>
      <c r="S10" s="2"/>
      <c r="T10" s="2"/>
    </row>
    <row r="11">
      <c r="A11" s="7" t="s">
        <v>19</v>
      </c>
      <c r="F11" s="8" t="s">
        <v>20</v>
      </c>
      <c r="I11" s="9" t="s">
        <v>21</v>
      </c>
      <c r="K11" s="10">
        <f>COUNTIF(K17:K1000,"Passed")</f>
        <v>90</v>
      </c>
      <c r="L11" s="5"/>
      <c r="M11" s="5"/>
      <c r="N11" s="6"/>
      <c r="O11" s="11" t="s">
        <v>22</v>
      </c>
      <c r="Q11" s="12">
        <f>COUNTIF(O17:O1000,"Passed")</f>
        <v>0</v>
      </c>
      <c r="R11" s="5"/>
      <c r="S11" s="5"/>
      <c r="T11" s="6"/>
    </row>
    <row r="12">
      <c r="A12" s="2"/>
      <c r="B12" s="2"/>
      <c r="C12" s="2"/>
      <c r="D12" s="2"/>
      <c r="E12" s="2"/>
      <c r="I12" s="13" t="s">
        <v>23</v>
      </c>
      <c r="K12" s="14">
        <f>COUNTIF(K18:K1000,"Fail")</f>
        <v>0</v>
      </c>
      <c r="L12" s="5"/>
      <c r="M12" s="5"/>
      <c r="N12" s="6"/>
      <c r="O12" s="11" t="s">
        <v>24</v>
      </c>
      <c r="Q12" s="12">
        <f>COUNTIF(O17:O1000,"Fail")</f>
        <v>0</v>
      </c>
      <c r="R12" s="5"/>
      <c r="S12" s="5"/>
      <c r="T12" s="6"/>
    </row>
    <row r="13">
      <c r="A13" s="2"/>
      <c r="B13" s="2"/>
      <c r="C13" s="2"/>
      <c r="D13" s="2"/>
      <c r="E13" s="2"/>
      <c r="I13" s="15" t="s">
        <v>25</v>
      </c>
      <c r="K13" s="16">
        <f>COUNTIF(K19:K1000,"Pending")</f>
        <v>0</v>
      </c>
      <c r="L13" s="5"/>
      <c r="M13" s="5"/>
      <c r="N13" s="6"/>
      <c r="O13" s="11" t="s">
        <v>26</v>
      </c>
      <c r="Q13" s="12">
        <f>COUNTIF(O18:O1000,"Pending")</f>
        <v>0</v>
      </c>
      <c r="R13" s="5"/>
      <c r="S13" s="5"/>
      <c r="T13" s="6"/>
    </row>
    <row r="14">
      <c r="A14" s="2"/>
      <c r="B14" s="2"/>
      <c r="C14" s="2"/>
      <c r="D14" s="2"/>
      <c r="E14" s="2"/>
      <c r="I14" s="17" t="s">
        <v>27</v>
      </c>
      <c r="K14" s="18">
        <f>COUNTIF(K20:K1000,"Not Excuted")</f>
        <v>0</v>
      </c>
      <c r="L14" s="5"/>
      <c r="M14" s="5"/>
      <c r="N14" s="6"/>
      <c r="O14" s="11" t="s">
        <v>28</v>
      </c>
      <c r="Q14" s="12">
        <f>COUNTIF(O20:O1000,"Not excuted")</f>
        <v>0</v>
      </c>
      <c r="R14" s="5"/>
      <c r="S14" s="5"/>
      <c r="T14" s="6"/>
    </row>
    <row r="15">
      <c r="A15" s="2"/>
      <c r="B15" s="2"/>
      <c r="C15" s="2"/>
      <c r="D15" s="2"/>
      <c r="E15" s="2"/>
      <c r="I15" s="11" t="s">
        <v>29</v>
      </c>
      <c r="K15" s="12">
        <f>COUNTIF(K21:K1000,"Passed")</f>
        <v>87</v>
      </c>
      <c r="L15" s="5"/>
      <c r="M15" s="5"/>
      <c r="N15" s="6"/>
      <c r="O15" s="11" t="s">
        <v>30</v>
      </c>
      <c r="Q15" s="12">
        <f>COUNTIF(O18:O1000,"Passed")</f>
        <v>0</v>
      </c>
      <c r="R15" s="5"/>
      <c r="S15" s="5"/>
      <c r="T15" s="6"/>
    </row>
    <row r="16">
      <c r="A16" s="19" t="s">
        <v>17</v>
      </c>
      <c r="B16" s="20" t="s">
        <v>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"/>
      <c r="Q16" s="2"/>
      <c r="R16" s="2"/>
      <c r="S16" s="2"/>
      <c r="T16" s="21"/>
    </row>
    <row r="17">
      <c r="A17" s="22"/>
      <c r="B17" s="22"/>
      <c r="C17" s="23" t="s">
        <v>32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24"/>
      <c r="Q17" s="24"/>
      <c r="R17" s="24"/>
      <c r="S17" s="24"/>
      <c r="T17" s="21"/>
    </row>
    <row r="18">
      <c r="A18" s="25" t="s">
        <v>33</v>
      </c>
      <c r="B18" s="25" t="s">
        <v>32</v>
      </c>
      <c r="C18" s="25" t="s">
        <v>34</v>
      </c>
      <c r="D18" s="25" t="s">
        <v>35</v>
      </c>
      <c r="E18" s="26" t="s">
        <v>36</v>
      </c>
      <c r="F18" s="25" t="s">
        <v>37</v>
      </c>
      <c r="G18" s="25" t="s">
        <v>38</v>
      </c>
      <c r="H18" s="25" t="s">
        <v>39</v>
      </c>
      <c r="I18" s="25" t="s">
        <v>40</v>
      </c>
      <c r="J18" s="25" t="s">
        <v>40</v>
      </c>
      <c r="K18" s="27" t="s">
        <v>41</v>
      </c>
      <c r="L18" s="2"/>
      <c r="M18" s="2"/>
      <c r="N18" s="28"/>
      <c r="O18" s="2"/>
      <c r="P18" s="2"/>
      <c r="Q18" s="2"/>
      <c r="R18" s="2"/>
      <c r="S18" s="2"/>
      <c r="T18" s="21"/>
    </row>
    <row r="19">
      <c r="A19" s="25" t="s">
        <v>33</v>
      </c>
      <c r="B19" s="25" t="s">
        <v>32</v>
      </c>
      <c r="C19" s="25" t="s">
        <v>42</v>
      </c>
      <c r="D19" s="25" t="s">
        <v>43</v>
      </c>
      <c r="E19" s="26" t="s">
        <v>36</v>
      </c>
      <c r="F19" s="25" t="s">
        <v>44</v>
      </c>
      <c r="G19" s="25" t="s">
        <v>45</v>
      </c>
      <c r="H19" s="25" t="s">
        <v>46</v>
      </c>
      <c r="I19" s="25" t="s">
        <v>47</v>
      </c>
      <c r="J19" s="25" t="s">
        <v>47</v>
      </c>
      <c r="K19" s="27" t="s">
        <v>41</v>
      </c>
      <c r="L19" s="2"/>
      <c r="M19" s="2"/>
      <c r="N19" s="28"/>
      <c r="O19" s="2"/>
      <c r="P19" s="2"/>
      <c r="Q19" s="2"/>
      <c r="R19" s="2"/>
      <c r="S19" s="2"/>
      <c r="T19" s="21"/>
    </row>
    <row r="20">
      <c r="A20" s="25" t="s">
        <v>33</v>
      </c>
      <c r="B20" s="25" t="s">
        <v>32</v>
      </c>
      <c r="C20" s="25" t="s">
        <v>48</v>
      </c>
      <c r="D20" s="25" t="s">
        <v>49</v>
      </c>
      <c r="E20" s="26" t="s">
        <v>36</v>
      </c>
      <c r="F20" s="25" t="s">
        <v>50</v>
      </c>
      <c r="G20" s="25" t="s">
        <v>51</v>
      </c>
      <c r="H20" s="25" t="s">
        <v>52</v>
      </c>
      <c r="I20" s="25" t="s">
        <v>53</v>
      </c>
      <c r="J20" s="25" t="s">
        <v>53</v>
      </c>
      <c r="K20" s="27" t="s">
        <v>41</v>
      </c>
      <c r="L20" s="2"/>
      <c r="M20" s="2"/>
      <c r="N20" s="28"/>
      <c r="O20" s="2"/>
      <c r="P20" s="2"/>
      <c r="Q20" s="2"/>
      <c r="R20" s="2"/>
      <c r="S20" s="2"/>
      <c r="T20" s="21"/>
    </row>
    <row r="21">
      <c r="A21" s="25" t="s">
        <v>33</v>
      </c>
      <c r="B21" s="25" t="s">
        <v>32</v>
      </c>
      <c r="C21" s="25" t="s">
        <v>54</v>
      </c>
      <c r="D21" s="25" t="s">
        <v>55</v>
      </c>
      <c r="E21" s="26" t="s">
        <v>36</v>
      </c>
      <c r="F21" s="25" t="s">
        <v>56</v>
      </c>
      <c r="G21" s="25" t="s">
        <v>57</v>
      </c>
      <c r="H21" s="25" t="s">
        <v>58</v>
      </c>
      <c r="I21" s="25" t="s">
        <v>59</v>
      </c>
      <c r="J21" s="25" t="s">
        <v>59</v>
      </c>
      <c r="K21" s="27" t="s">
        <v>41</v>
      </c>
      <c r="L21" s="2"/>
      <c r="M21" s="2"/>
      <c r="N21" s="28"/>
      <c r="O21" s="2"/>
      <c r="P21" s="2"/>
      <c r="Q21" s="2"/>
      <c r="R21" s="2"/>
      <c r="S21" s="2"/>
      <c r="T21" s="21"/>
    </row>
    <row r="22">
      <c r="A22" s="25" t="s">
        <v>33</v>
      </c>
      <c r="B22" s="25" t="s">
        <v>32</v>
      </c>
      <c r="C22" s="25" t="s">
        <v>60</v>
      </c>
      <c r="D22" s="25" t="s">
        <v>61</v>
      </c>
      <c r="E22" s="26" t="s">
        <v>36</v>
      </c>
      <c r="F22" s="25" t="s">
        <v>62</v>
      </c>
      <c r="G22" s="25" t="s">
        <v>57</v>
      </c>
      <c r="H22" s="25" t="s">
        <v>63</v>
      </c>
      <c r="I22" s="25" t="s">
        <v>64</v>
      </c>
      <c r="J22" s="25" t="s">
        <v>64</v>
      </c>
      <c r="K22" s="27" t="s">
        <v>41</v>
      </c>
      <c r="L22" s="2"/>
      <c r="M22" s="2"/>
      <c r="N22" s="28"/>
      <c r="O22" s="2"/>
      <c r="P22" s="2"/>
      <c r="Q22" s="2"/>
      <c r="R22" s="2"/>
      <c r="S22" s="2"/>
      <c r="T22" s="21"/>
    </row>
    <row r="23">
      <c r="A23" s="25" t="s">
        <v>33</v>
      </c>
      <c r="B23" s="25" t="s">
        <v>32</v>
      </c>
      <c r="C23" s="25" t="s">
        <v>65</v>
      </c>
      <c r="D23" s="25" t="s">
        <v>66</v>
      </c>
      <c r="E23" s="26" t="s">
        <v>67</v>
      </c>
      <c r="F23" s="25" t="s">
        <v>68</v>
      </c>
      <c r="G23" s="25" t="s">
        <v>69</v>
      </c>
      <c r="H23" s="25" t="s">
        <v>70</v>
      </c>
      <c r="I23" s="25" t="s">
        <v>71</v>
      </c>
      <c r="J23" s="25" t="s">
        <v>71</v>
      </c>
      <c r="K23" s="27" t="s">
        <v>41</v>
      </c>
      <c r="L23" s="2"/>
      <c r="M23" s="2"/>
      <c r="N23" s="28"/>
      <c r="O23" s="2"/>
      <c r="P23" s="2"/>
      <c r="Q23" s="2"/>
      <c r="R23" s="2"/>
      <c r="S23" s="2"/>
      <c r="T23" s="21"/>
    </row>
    <row r="24">
      <c r="A24" s="25" t="s">
        <v>33</v>
      </c>
      <c r="B24" s="25" t="s">
        <v>32</v>
      </c>
      <c r="C24" s="25" t="s">
        <v>72</v>
      </c>
      <c r="D24" s="25" t="s">
        <v>73</v>
      </c>
      <c r="E24" s="26" t="s">
        <v>67</v>
      </c>
      <c r="F24" s="25" t="s">
        <v>74</v>
      </c>
      <c r="G24" s="25" t="s">
        <v>69</v>
      </c>
      <c r="H24" s="25" t="s">
        <v>75</v>
      </c>
      <c r="I24" s="25" t="s">
        <v>76</v>
      </c>
      <c r="J24" s="25" t="s">
        <v>76</v>
      </c>
      <c r="K24" s="27" t="s">
        <v>41</v>
      </c>
      <c r="L24" s="2"/>
      <c r="M24" s="2"/>
      <c r="N24" s="28"/>
      <c r="O24" s="2"/>
      <c r="P24" s="2"/>
      <c r="Q24" s="2"/>
      <c r="R24" s="2"/>
      <c r="S24" s="2"/>
      <c r="T24" s="21"/>
    </row>
    <row r="25">
      <c r="A25" s="25" t="s">
        <v>33</v>
      </c>
      <c r="B25" s="25" t="s">
        <v>32</v>
      </c>
      <c r="C25" s="25" t="s">
        <v>77</v>
      </c>
      <c r="D25" s="25" t="s">
        <v>78</v>
      </c>
      <c r="E25" s="26" t="s">
        <v>36</v>
      </c>
      <c r="F25" s="25" t="s">
        <v>79</v>
      </c>
      <c r="G25" s="25" t="s">
        <v>80</v>
      </c>
      <c r="H25" s="25" t="s">
        <v>81</v>
      </c>
      <c r="I25" s="25" t="s">
        <v>82</v>
      </c>
      <c r="J25" s="25" t="s">
        <v>82</v>
      </c>
      <c r="K25" s="27" t="s">
        <v>41</v>
      </c>
      <c r="L25" s="2"/>
      <c r="M25" s="2"/>
      <c r="N25" s="28"/>
      <c r="O25" s="2"/>
      <c r="P25" s="2"/>
      <c r="Q25" s="2"/>
      <c r="R25" s="2"/>
      <c r="S25" s="2"/>
      <c r="T25" s="21"/>
    </row>
    <row r="26">
      <c r="A26" s="25" t="s">
        <v>33</v>
      </c>
      <c r="B26" s="25" t="s">
        <v>32</v>
      </c>
      <c r="C26" s="25" t="s">
        <v>83</v>
      </c>
      <c r="D26" s="25" t="s">
        <v>84</v>
      </c>
      <c r="E26" s="26" t="s">
        <v>36</v>
      </c>
      <c r="F26" s="25" t="s">
        <v>85</v>
      </c>
      <c r="G26" s="25" t="s">
        <v>86</v>
      </c>
      <c r="H26" s="25" t="s">
        <v>87</v>
      </c>
      <c r="I26" s="25" t="s">
        <v>88</v>
      </c>
      <c r="J26" s="25" t="s">
        <v>88</v>
      </c>
      <c r="K26" s="27" t="s">
        <v>41</v>
      </c>
      <c r="L26" s="2"/>
      <c r="M26" s="2"/>
      <c r="N26" s="28"/>
      <c r="O26" s="2"/>
      <c r="P26" s="2"/>
      <c r="Q26" s="2"/>
      <c r="R26" s="2"/>
      <c r="S26" s="2"/>
      <c r="T26" s="21"/>
    </row>
    <row r="27">
      <c r="A27" s="25" t="s">
        <v>33</v>
      </c>
      <c r="B27" s="25" t="s">
        <v>32</v>
      </c>
      <c r="C27" s="25" t="s">
        <v>89</v>
      </c>
      <c r="D27" s="25" t="s">
        <v>90</v>
      </c>
      <c r="E27" s="26" t="s">
        <v>36</v>
      </c>
      <c r="F27" s="25" t="s">
        <v>91</v>
      </c>
      <c r="G27" s="25" t="s">
        <v>92</v>
      </c>
      <c r="H27" s="25" t="s">
        <v>93</v>
      </c>
      <c r="I27" s="25" t="s">
        <v>94</v>
      </c>
      <c r="J27" s="25" t="s">
        <v>94</v>
      </c>
      <c r="K27" s="27" t="s">
        <v>41</v>
      </c>
      <c r="L27" s="2"/>
      <c r="M27" s="2"/>
      <c r="N27" s="28"/>
      <c r="O27" s="2"/>
      <c r="P27" s="2"/>
      <c r="Q27" s="2"/>
      <c r="R27" s="2"/>
      <c r="S27" s="2"/>
      <c r="T27" s="21"/>
    </row>
    <row r="28">
      <c r="A28" s="25" t="s">
        <v>33</v>
      </c>
      <c r="B28" s="25" t="s">
        <v>32</v>
      </c>
      <c r="C28" s="25" t="s">
        <v>95</v>
      </c>
      <c r="D28" s="25" t="s">
        <v>96</v>
      </c>
      <c r="E28" s="26" t="s">
        <v>67</v>
      </c>
      <c r="F28" s="25" t="s">
        <v>97</v>
      </c>
      <c r="G28" s="25" t="s">
        <v>98</v>
      </c>
      <c r="H28" s="25" t="s">
        <v>99</v>
      </c>
      <c r="I28" s="25" t="s">
        <v>100</v>
      </c>
      <c r="J28" s="25" t="s">
        <v>100</v>
      </c>
      <c r="K28" s="27" t="s">
        <v>41</v>
      </c>
      <c r="L28" s="2"/>
      <c r="M28" s="2"/>
      <c r="N28" s="28"/>
      <c r="O28" s="2"/>
      <c r="P28" s="2"/>
      <c r="Q28" s="2"/>
      <c r="R28" s="2"/>
      <c r="S28" s="2"/>
      <c r="T28" s="21"/>
    </row>
    <row r="29">
      <c r="A29" s="22"/>
      <c r="B29" s="22"/>
      <c r="C29" s="23" t="s">
        <v>101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24"/>
      <c r="Q29" s="24"/>
      <c r="R29" s="24"/>
      <c r="S29" s="24"/>
      <c r="T29" s="21"/>
    </row>
    <row r="30">
      <c r="A30" s="25" t="s">
        <v>33</v>
      </c>
      <c r="B30" s="25" t="s">
        <v>101</v>
      </c>
      <c r="C30" s="25" t="s">
        <v>102</v>
      </c>
      <c r="D30" s="25" t="s">
        <v>103</v>
      </c>
      <c r="E30" s="26" t="s">
        <v>36</v>
      </c>
      <c r="F30" s="25" t="s">
        <v>104</v>
      </c>
      <c r="G30" s="25" t="s">
        <v>105</v>
      </c>
      <c r="H30" s="25" t="s">
        <v>106</v>
      </c>
      <c r="I30" s="25" t="s">
        <v>107</v>
      </c>
      <c r="J30" s="25" t="s">
        <v>107</v>
      </c>
      <c r="K30" s="27" t="s">
        <v>41</v>
      </c>
      <c r="L30" s="2"/>
      <c r="M30" s="2"/>
      <c r="N30" s="28"/>
      <c r="O30" s="2"/>
      <c r="P30" s="2"/>
      <c r="Q30" s="2"/>
      <c r="R30" s="2"/>
      <c r="S30" s="2"/>
      <c r="T30" s="21"/>
    </row>
    <row r="31">
      <c r="A31" s="25" t="s">
        <v>33</v>
      </c>
      <c r="B31" s="25" t="s">
        <v>101</v>
      </c>
      <c r="C31" s="25" t="s">
        <v>108</v>
      </c>
      <c r="D31" s="25" t="s">
        <v>109</v>
      </c>
      <c r="E31" s="26" t="s">
        <v>36</v>
      </c>
      <c r="F31" s="25" t="s">
        <v>110</v>
      </c>
      <c r="G31" s="25" t="s">
        <v>111</v>
      </c>
      <c r="H31" s="25" t="s">
        <v>112</v>
      </c>
      <c r="I31" s="25" t="s">
        <v>113</v>
      </c>
      <c r="J31" s="25" t="s">
        <v>113</v>
      </c>
      <c r="K31" s="27" t="s">
        <v>41</v>
      </c>
      <c r="L31" s="2"/>
      <c r="M31" s="2"/>
      <c r="N31" s="28"/>
      <c r="O31" s="2"/>
      <c r="P31" s="2"/>
      <c r="Q31" s="2"/>
      <c r="R31" s="2"/>
      <c r="S31" s="2"/>
      <c r="T31" s="21"/>
    </row>
    <row r="32">
      <c r="A32" s="25" t="s">
        <v>33</v>
      </c>
      <c r="B32" s="25" t="s">
        <v>101</v>
      </c>
      <c r="C32" s="25" t="s">
        <v>114</v>
      </c>
      <c r="D32" s="25" t="s">
        <v>115</v>
      </c>
      <c r="E32" s="26" t="s">
        <v>116</v>
      </c>
      <c r="F32" s="25" t="s">
        <v>117</v>
      </c>
      <c r="G32" s="25" t="s">
        <v>118</v>
      </c>
      <c r="H32" s="25" t="s">
        <v>112</v>
      </c>
      <c r="I32" s="25" t="s">
        <v>119</v>
      </c>
      <c r="J32" s="25" t="s">
        <v>119</v>
      </c>
      <c r="K32" s="27" t="s">
        <v>41</v>
      </c>
      <c r="L32" s="2"/>
      <c r="M32" s="2"/>
      <c r="N32" s="28"/>
      <c r="O32" s="2"/>
      <c r="P32" s="2"/>
      <c r="Q32" s="2"/>
      <c r="R32" s="2"/>
      <c r="S32" s="2"/>
      <c r="T32" s="21"/>
    </row>
    <row r="33">
      <c r="A33" s="25" t="s">
        <v>33</v>
      </c>
      <c r="B33" s="25" t="s">
        <v>101</v>
      </c>
      <c r="C33" s="25" t="s">
        <v>120</v>
      </c>
      <c r="D33" s="25" t="s">
        <v>121</v>
      </c>
      <c r="E33" s="26" t="s">
        <v>67</v>
      </c>
      <c r="F33" s="25" t="s">
        <v>122</v>
      </c>
      <c r="G33" s="25" t="s">
        <v>123</v>
      </c>
      <c r="H33" s="25" t="s">
        <v>124</v>
      </c>
      <c r="I33" s="25" t="s">
        <v>125</v>
      </c>
      <c r="J33" s="25" t="s">
        <v>125</v>
      </c>
      <c r="K33" s="27" t="s">
        <v>41</v>
      </c>
      <c r="L33" s="2"/>
      <c r="M33" s="2"/>
      <c r="N33" s="28"/>
      <c r="O33" s="2"/>
      <c r="P33" s="2"/>
      <c r="Q33" s="2"/>
      <c r="R33" s="2"/>
      <c r="S33" s="2"/>
      <c r="T33" s="21"/>
    </row>
    <row r="34">
      <c r="A34" s="25" t="s">
        <v>33</v>
      </c>
      <c r="B34" s="25" t="s">
        <v>101</v>
      </c>
      <c r="C34" s="25" t="s">
        <v>126</v>
      </c>
      <c r="D34" s="25" t="s">
        <v>127</v>
      </c>
      <c r="E34" s="26" t="s">
        <v>67</v>
      </c>
      <c r="F34" s="25" t="s">
        <v>128</v>
      </c>
      <c r="G34" s="25" t="s">
        <v>129</v>
      </c>
      <c r="H34" s="25" t="s">
        <v>130</v>
      </c>
      <c r="I34" s="25" t="s">
        <v>131</v>
      </c>
      <c r="J34" s="25" t="s">
        <v>131</v>
      </c>
      <c r="K34" s="27" t="s">
        <v>41</v>
      </c>
      <c r="L34" s="2"/>
      <c r="M34" s="2"/>
      <c r="N34" s="28"/>
      <c r="O34" s="2"/>
      <c r="P34" s="2"/>
      <c r="Q34" s="2"/>
      <c r="R34" s="2"/>
      <c r="S34" s="2"/>
      <c r="T34" s="21"/>
    </row>
    <row r="35">
      <c r="A35" s="25" t="s">
        <v>33</v>
      </c>
      <c r="B35" s="25" t="s">
        <v>101</v>
      </c>
      <c r="C35" s="25" t="s">
        <v>132</v>
      </c>
      <c r="D35" s="25" t="s">
        <v>133</v>
      </c>
      <c r="E35" s="26" t="s">
        <v>67</v>
      </c>
      <c r="F35" s="25" t="s">
        <v>134</v>
      </c>
      <c r="G35" s="25" t="s">
        <v>135</v>
      </c>
      <c r="H35" s="25" t="s">
        <v>136</v>
      </c>
      <c r="I35" s="25" t="s">
        <v>137</v>
      </c>
      <c r="J35" s="25" t="s">
        <v>137</v>
      </c>
      <c r="K35" s="27" t="s">
        <v>41</v>
      </c>
      <c r="L35" s="2"/>
      <c r="M35" s="2"/>
      <c r="N35" s="28"/>
      <c r="O35" s="2"/>
      <c r="P35" s="2"/>
      <c r="Q35" s="2"/>
      <c r="R35" s="2"/>
      <c r="S35" s="2"/>
      <c r="T35" s="21"/>
    </row>
    <row r="36">
      <c r="A36" s="22"/>
      <c r="B36" s="22"/>
      <c r="C36" s="23" t="s">
        <v>138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  <c r="P36" s="24"/>
      <c r="Q36" s="24"/>
      <c r="R36" s="24"/>
      <c r="S36" s="24"/>
      <c r="T36" s="21"/>
    </row>
    <row r="37">
      <c r="A37" s="25" t="s">
        <v>33</v>
      </c>
      <c r="B37" s="25" t="s">
        <v>138</v>
      </c>
      <c r="C37" s="25" t="s">
        <v>139</v>
      </c>
      <c r="D37" s="25" t="s">
        <v>140</v>
      </c>
      <c r="E37" s="26" t="s">
        <v>36</v>
      </c>
      <c r="F37" s="25" t="s">
        <v>141</v>
      </c>
      <c r="G37" s="25" t="s">
        <v>142</v>
      </c>
      <c r="H37" s="25" t="s">
        <v>143</v>
      </c>
      <c r="I37" s="25" t="s">
        <v>144</v>
      </c>
      <c r="J37" s="25" t="s">
        <v>144</v>
      </c>
      <c r="K37" s="27" t="s">
        <v>41</v>
      </c>
      <c r="L37" s="2"/>
      <c r="M37" s="2"/>
      <c r="N37" s="28"/>
      <c r="O37" s="2"/>
      <c r="P37" s="2"/>
      <c r="Q37" s="2"/>
      <c r="R37" s="2"/>
      <c r="S37" s="2"/>
      <c r="T37" s="21"/>
    </row>
    <row r="38">
      <c r="A38" s="25" t="s">
        <v>33</v>
      </c>
      <c r="B38" s="25" t="s">
        <v>138</v>
      </c>
      <c r="C38" s="25" t="s">
        <v>145</v>
      </c>
      <c r="D38" s="25" t="s">
        <v>146</v>
      </c>
      <c r="E38" s="26" t="s">
        <v>36</v>
      </c>
      <c r="F38" s="25" t="s">
        <v>147</v>
      </c>
      <c r="G38" s="25" t="s">
        <v>148</v>
      </c>
      <c r="H38" s="25" t="s">
        <v>149</v>
      </c>
      <c r="I38" s="25" t="s">
        <v>150</v>
      </c>
      <c r="J38" s="25" t="s">
        <v>150</v>
      </c>
      <c r="K38" s="27" t="s">
        <v>41</v>
      </c>
      <c r="L38" s="2"/>
      <c r="M38" s="2"/>
      <c r="N38" s="28"/>
      <c r="O38" s="2"/>
      <c r="P38" s="2"/>
      <c r="Q38" s="2"/>
      <c r="R38" s="2"/>
      <c r="S38" s="2"/>
      <c r="T38" s="21"/>
    </row>
    <row r="39">
      <c r="A39" s="25" t="s">
        <v>33</v>
      </c>
      <c r="B39" s="25" t="s">
        <v>138</v>
      </c>
      <c r="C39" s="25" t="s">
        <v>151</v>
      </c>
      <c r="D39" s="25" t="s">
        <v>152</v>
      </c>
      <c r="E39" s="26" t="s">
        <v>67</v>
      </c>
      <c r="F39" s="25" t="s">
        <v>153</v>
      </c>
      <c r="G39" s="25" t="s">
        <v>154</v>
      </c>
      <c r="H39" s="25" t="s">
        <v>155</v>
      </c>
      <c r="I39" s="25" t="s">
        <v>156</v>
      </c>
      <c r="J39" s="25" t="s">
        <v>156</v>
      </c>
      <c r="K39" s="27" t="s">
        <v>41</v>
      </c>
      <c r="L39" s="2"/>
      <c r="M39" s="2"/>
      <c r="N39" s="28"/>
      <c r="O39" s="2"/>
      <c r="P39" s="2"/>
      <c r="Q39" s="2"/>
      <c r="R39" s="2"/>
      <c r="S39" s="2"/>
      <c r="T39" s="21"/>
    </row>
    <row r="40">
      <c r="A40" s="25" t="s">
        <v>33</v>
      </c>
      <c r="B40" s="25" t="s">
        <v>138</v>
      </c>
      <c r="C40" s="25" t="s">
        <v>157</v>
      </c>
      <c r="D40" s="25" t="s">
        <v>158</v>
      </c>
      <c r="E40" s="26" t="s">
        <v>67</v>
      </c>
      <c r="F40" s="25" t="s">
        <v>159</v>
      </c>
      <c r="G40" s="25" t="s">
        <v>160</v>
      </c>
      <c r="H40" s="25" t="s">
        <v>161</v>
      </c>
      <c r="I40" s="25" t="s">
        <v>162</v>
      </c>
      <c r="J40" s="25" t="s">
        <v>162</v>
      </c>
      <c r="K40" s="27" t="s">
        <v>41</v>
      </c>
      <c r="L40" s="2"/>
      <c r="M40" s="2"/>
      <c r="N40" s="28"/>
      <c r="O40" s="2"/>
      <c r="P40" s="2"/>
      <c r="Q40" s="2"/>
      <c r="R40" s="2"/>
      <c r="S40" s="2"/>
      <c r="T40" s="21"/>
    </row>
    <row r="41">
      <c r="A41" s="25" t="s">
        <v>33</v>
      </c>
      <c r="B41" s="25" t="s">
        <v>138</v>
      </c>
      <c r="C41" s="25" t="s">
        <v>163</v>
      </c>
      <c r="D41" s="25" t="s">
        <v>164</v>
      </c>
      <c r="E41" s="26" t="s">
        <v>67</v>
      </c>
      <c r="F41" s="25" t="s">
        <v>165</v>
      </c>
      <c r="G41" s="25" t="s">
        <v>166</v>
      </c>
      <c r="H41" s="25" t="s">
        <v>167</v>
      </c>
      <c r="I41" s="25" t="s">
        <v>168</v>
      </c>
      <c r="J41" s="25" t="s">
        <v>169</v>
      </c>
      <c r="K41" s="27" t="s">
        <v>41</v>
      </c>
      <c r="L41" s="2"/>
      <c r="M41" s="2"/>
      <c r="N41" s="28"/>
      <c r="O41" s="2"/>
      <c r="P41" s="2"/>
      <c r="Q41" s="2"/>
      <c r="R41" s="2"/>
      <c r="S41" s="2"/>
      <c r="T41" s="21"/>
    </row>
    <row r="42">
      <c r="A42" s="25" t="s">
        <v>33</v>
      </c>
      <c r="B42" s="25" t="s">
        <v>138</v>
      </c>
      <c r="C42" s="25" t="s">
        <v>170</v>
      </c>
      <c r="D42" s="25" t="s">
        <v>171</v>
      </c>
      <c r="E42" s="26" t="s">
        <v>67</v>
      </c>
      <c r="F42" s="25" t="s">
        <v>172</v>
      </c>
      <c r="G42" s="25" t="s">
        <v>173</v>
      </c>
      <c r="H42" s="25" t="s">
        <v>174</v>
      </c>
      <c r="I42" s="25" t="s">
        <v>175</v>
      </c>
      <c r="J42" s="25" t="s">
        <v>175</v>
      </c>
      <c r="K42" s="27" t="s">
        <v>41</v>
      </c>
      <c r="L42" s="2"/>
      <c r="M42" s="2"/>
      <c r="N42" s="28"/>
      <c r="O42" s="2"/>
      <c r="P42" s="2"/>
      <c r="Q42" s="2"/>
      <c r="R42" s="2"/>
      <c r="S42" s="2"/>
      <c r="T42" s="21"/>
    </row>
    <row r="43">
      <c r="A43" s="25" t="s">
        <v>33</v>
      </c>
      <c r="B43" s="25" t="s">
        <v>138</v>
      </c>
      <c r="C43" s="25" t="s">
        <v>176</v>
      </c>
      <c r="D43" s="25" t="s">
        <v>177</v>
      </c>
      <c r="E43" s="26" t="s">
        <v>67</v>
      </c>
      <c r="F43" s="25" t="s">
        <v>178</v>
      </c>
      <c r="G43" s="25" t="s">
        <v>179</v>
      </c>
      <c r="H43" s="25" t="s">
        <v>180</v>
      </c>
      <c r="I43" s="25" t="s">
        <v>181</v>
      </c>
      <c r="J43" s="25" t="s">
        <v>181</v>
      </c>
      <c r="K43" s="27" t="s">
        <v>41</v>
      </c>
      <c r="L43" s="2"/>
      <c r="M43" s="2"/>
      <c r="N43" s="28"/>
      <c r="O43" s="2"/>
      <c r="P43" s="2"/>
      <c r="Q43" s="2"/>
      <c r="R43" s="2"/>
      <c r="S43" s="2"/>
      <c r="T43" s="21"/>
    </row>
    <row r="44">
      <c r="A44" s="25" t="s">
        <v>33</v>
      </c>
      <c r="B44" s="25" t="s">
        <v>138</v>
      </c>
      <c r="C44" s="25" t="s">
        <v>182</v>
      </c>
      <c r="D44" s="25" t="s">
        <v>183</v>
      </c>
      <c r="E44" s="26" t="s">
        <v>116</v>
      </c>
      <c r="F44" s="25" t="s">
        <v>184</v>
      </c>
      <c r="G44" s="25" t="s">
        <v>185</v>
      </c>
      <c r="H44" s="25" t="s">
        <v>186</v>
      </c>
      <c r="I44" s="25" t="s">
        <v>187</v>
      </c>
      <c r="J44" s="25" t="s">
        <v>187</v>
      </c>
      <c r="K44" s="27" t="s">
        <v>41</v>
      </c>
      <c r="L44" s="2"/>
      <c r="M44" s="2"/>
      <c r="N44" s="28"/>
      <c r="O44" s="2"/>
      <c r="P44" s="2"/>
      <c r="Q44" s="2"/>
      <c r="R44" s="2"/>
      <c r="S44" s="2"/>
      <c r="T44" s="21"/>
    </row>
    <row r="45">
      <c r="A45" s="25" t="s">
        <v>33</v>
      </c>
      <c r="B45" s="25" t="s">
        <v>138</v>
      </c>
      <c r="C45" s="25" t="s">
        <v>188</v>
      </c>
      <c r="D45" s="25" t="s">
        <v>189</v>
      </c>
      <c r="E45" s="26" t="s">
        <v>116</v>
      </c>
      <c r="F45" s="25" t="s">
        <v>190</v>
      </c>
      <c r="G45" s="25" t="s">
        <v>191</v>
      </c>
      <c r="H45" s="25" t="s">
        <v>192</v>
      </c>
      <c r="I45" s="25" t="s">
        <v>193</v>
      </c>
      <c r="J45" s="25" t="s">
        <v>193</v>
      </c>
      <c r="K45" s="27" t="s">
        <v>41</v>
      </c>
      <c r="L45" s="2"/>
      <c r="M45" s="2"/>
      <c r="N45" s="28"/>
      <c r="O45" s="2"/>
      <c r="P45" s="2"/>
      <c r="Q45" s="2"/>
      <c r="R45" s="2"/>
      <c r="S45" s="2"/>
      <c r="T45" s="21"/>
    </row>
    <row r="46">
      <c r="A46" s="25" t="s">
        <v>33</v>
      </c>
      <c r="B46" s="25" t="s">
        <v>138</v>
      </c>
      <c r="C46" s="25" t="s">
        <v>194</v>
      </c>
      <c r="D46" s="25" t="s">
        <v>195</v>
      </c>
      <c r="E46" s="26" t="s">
        <v>67</v>
      </c>
      <c r="F46" s="25" t="s">
        <v>196</v>
      </c>
      <c r="G46" s="25" t="s">
        <v>197</v>
      </c>
      <c r="H46" s="25" t="s">
        <v>198</v>
      </c>
      <c r="I46" s="25" t="s">
        <v>199</v>
      </c>
      <c r="J46" s="25" t="s">
        <v>199</v>
      </c>
      <c r="K46" s="27" t="s">
        <v>41</v>
      </c>
      <c r="L46" s="2"/>
      <c r="M46" s="2"/>
      <c r="N46" s="28"/>
      <c r="O46" s="2"/>
      <c r="P46" s="2"/>
      <c r="Q46" s="2"/>
      <c r="R46" s="2"/>
      <c r="S46" s="2"/>
      <c r="T46" s="21"/>
    </row>
    <row r="47">
      <c r="A47" s="25" t="s">
        <v>33</v>
      </c>
      <c r="B47" s="25" t="s">
        <v>138</v>
      </c>
      <c r="C47" s="25" t="s">
        <v>200</v>
      </c>
      <c r="D47" s="25" t="s">
        <v>201</v>
      </c>
      <c r="E47" s="26" t="s">
        <v>116</v>
      </c>
      <c r="F47" s="25" t="s">
        <v>202</v>
      </c>
      <c r="G47" s="25" t="s">
        <v>203</v>
      </c>
      <c r="H47" s="25" t="s">
        <v>112</v>
      </c>
      <c r="I47" s="25" t="s">
        <v>204</v>
      </c>
      <c r="J47" s="25" t="s">
        <v>204</v>
      </c>
      <c r="K47" s="27" t="s">
        <v>41</v>
      </c>
      <c r="L47" s="2"/>
      <c r="M47" s="2"/>
      <c r="N47" s="28"/>
      <c r="O47" s="2"/>
      <c r="P47" s="2"/>
      <c r="Q47" s="2"/>
      <c r="R47" s="2"/>
      <c r="S47" s="2"/>
      <c r="T47" s="21"/>
    </row>
    <row r="48">
      <c r="A48" s="25" t="s">
        <v>33</v>
      </c>
      <c r="B48" s="25" t="s">
        <v>138</v>
      </c>
      <c r="C48" s="25" t="s">
        <v>205</v>
      </c>
      <c r="D48" s="25" t="s">
        <v>206</v>
      </c>
      <c r="E48" s="26" t="s">
        <v>67</v>
      </c>
      <c r="F48" s="25" t="s">
        <v>207</v>
      </c>
      <c r="G48" s="25" t="s">
        <v>208</v>
      </c>
      <c r="H48" s="25" t="s">
        <v>209</v>
      </c>
      <c r="I48" s="25" t="s">
        <v>210</v>
      </c>
      <c r="J48" s="25" t="s">
        <v>210</v>
      </c>
      <c r="K48" s="27" t="s">
        <v>41</v>
      </c>
      <c r="L48" s="2"/>
      <c r="M48" s="2"/>
      <c r="N48" s="28"/>
      <c r="O48" s="2"/>
      <c r="P48" s="2"/>
      <c r="Q48" s="2"/>
      <c r="R48" s="2"/>
      <c r="S48" s="2"/>
      <c r="T48" s="21"/>
    </row>
    <row r="49">
      <c r="A49" s="22"/>
      <c r="B49" s="22"/>
      <c r="C49" s="23" t="s">
        <v>211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  <c r="P49" s="24"/>
      <c r="Q49" s="24"/>
      <c r="R49" s="24"/>
      <c r="S49" s="24"/>
      <c r="T49" s="21"/>
    </row>
    <row r="50">
      <c r="A50" s="25" t="s">
        <v>33</v>
      </c>
      <c r="B50" s="25" t="s">
        <v>211</v>
      </c>
      <c r="C50" s="25" t="s">
        <v>212</v>
      </c>
      <c r="D50" s="25" t="s">
        <v>213</v>
      </c>
      <c r="E50" s="26" t="s">
        <v>36</v>
      </c>
      <c r="F50" s="25" t="s">
        <v>214</v>
      </c>
      <c r="G50" s="25" t="s">
        <v>215</v>
      </c>
      <c r="H50" s="29"/>
      <c r="I50" s="25" t="s">
        <v>216</v>
      </c>
      <c r="J50" s="25" t="s">
        <v>216</v>
      </c>
      <c r="K50" s="27" t="s">
        <v>41</v>
      </c>
      <c r="L50" s="2"/>
      <c r="M50" s="2"/>
      <c r="N50" s="28"/>
      <c r="O50" s="2"/>
      <c r="P50" s="2"/>
      <c r="Q50" s="2"/>
      <c r="R50" s="2"/>
      <c r="S50" s="2"/>
      <c r="T50" s="21"/>
    </row>
    <row r="51">
      <c r="A51" s="25" t="s">
        <v>33</v>
      </c>
      <c r="B51" s="25" t="s">
        <v>211</v>
      </c>
      <c r="C51" s="25" t="s">
        <v>217</v>
      </c>
      <c r="D51" s="25" t="s">
        <v>218</v>
      </c>
      <c r="E51" s="26" t="s">
        <v>67</v>
      </c>
      <c r="F51" s="25" t="s">
        <v>219</v>
      </c>
      <c r="G51" s="25" t="s">
        <v>220</v>
      </c>
      <c r="H51" s="29"/>
      <c r="I51" s="25" t="s">
        <v>221</v>
      </c>
      <c r="J51" s="25" t="s">
        <v>221</v>
      </c>
      <c r="K51" s="27" t="s">
        <v>41</v>
      </c>
      <c r="L51" s="2"/>
      <c r="M51" s="2"/>
      <c r="N51" s="28"/>
      <c r="O51" s="2"/>
      <c r="P51" s="2"/>
      <c r="Q51" s="2"/>
      <c r="R51" s="2"/>
      <c r="S51" s="2"/>
      <c r="T51" s="21"/>
    </row>
    <row r="52">
      <c r="A52" s="22"/>
      <c r="B52" s="22"/>
      <c r="C52" s="23" t="s">
        <v>222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6"/>
      <c r="P52" s="24"/>
      <c r="Q52" s="24"/>
      <c r="R52" s="24"/>
      <c r="S52" s="24"/>
      <c r="T52" s="21"/>
    </row>
    <row r="53">
      <c r="A53" s="25" t="s">
        <v>33</v>
      </c>
      <c r="B53" s="25" t="s">
        <v>222</v>
      </c>
      <c r="C53" s="25" t="s">
        <v>223</v>
      </c>
      <c r="D53" s="25" t="s">
        <v>224</v>
      </c>
      <c r="E53" s="26" t="s">
        <v>36</v>
      </c>
      <c r="F53" s="25" t="s">
        <v>225</v>
      </c>
      <c r="G53" s="25" t="s">
        <v>226</v>
      </c>
      <c r="H53" s="25" t="s">
        <v>227</v>
      </c>
      <c r="I53" s="25" t="s">
        <v>228</v>
      </c>
      <c r="J53" s="25" t="s">
        <v>228</v>
      </c>
      <c r="K53" s="27" t="s">
        <v>41</v>
      </c>
      <c r="L53" s="2"/>
      <c r="M53" s="2"/>
      <c r="N53" s="28"/>
      <c r="O53" s="2"/>
      <c r="P53" s="2"/>
      <c r="Q53" s="2"/>
      <c r="R53" s="2"/>
      <c r="S53" s="2"/>
      <c r="T53" s="21"/>
    </row>
    <row r="54">
      <c r="A54" s="25" t="s">
        <v>33</v>
      </c>
      <c r="B54" s="25" t="s">
        <v>222</v>
      </c>
      <c r="C54" s="25" t="s">
        <v>229</v>
      </c>
      <c r="D54" s="25" t="s">
        <v>230</v>
      </c>
      <c r="E54" s="26" t="s">
        <v>36</v>
      </c>
      <c r="F54" s="25" t="s">
        <v>231</v>
      </c>
      <c r="G54" s="25" t="s">
        <v>232</v>
      </c>
      <c r="H54" s="25" t="s">
        <v>233</v>
      </c>
      <c r="I54" s="25" t="s">
        <v>234</v>
      </c>
      <c r="J54" s="25" t="s">
        <v>234</v>
      </c>
      <c r="K54" s="27" t="s">
        <v>41</v>
      </c>
      <c r="L54" s="2"/>
      <c r="M54" s="2"/>
      <c r="N54" s="28"/>
      <c r="O54" s="2"/>
      <c r="P54" s="2"/>
      <c r="Q54" s="2"/>
      <c r="R54" s="2"/>
      <c r="S54" s="2"/>
      <c r="T54" s="21"/>
    </row>
    <row r="55">
      <c r="A55" s="25" t="s">
        <v>33</v>
      </c>
      <c r="B55" s="25" t="s">
        <v>222</v>
      </c>
      <c r="C55" s="25" t="s">
        <v>235</v>
      </c>
      <c r="D55" s="25" t="s">
        <v>236</v>
      </c>
      <c r="E55" s="26" t="s">
        <v>67</v>
      </c>
      <c r="F55" s="25" t="s">
        <v>237</v>
      </c>
      <c r="G55" s="25" t="s">
        <v>238</v>
      </c>
      <c r="H55" s="25" t="s">
        <v>239</v>
      </c>
      <c r="I55" s="25" t="s">
        <v>240</v>
      </c>
      <c r="J55" s="25" t="s">
        <v>240</v>
      </c>
      <c r="K55" s="27" t="s">
        <v>41</v>
      </c>
      <c r="L55" s="2"/>
      <c r="M55" s="2"/>
      <c r="N55" s="28"/>
      <c r="O55" s="2"/>
      <c r="P55" s="2"/>
      <c r="Q55" s="2"/>
      <c r="R55" s="2"/>
      <c r="S55" s="2"/>
      <c r="T55" s="21"/>
    </row>
    <row r="56">
      <c r="A56" s="25" t="s">
        <v>33</v>
      </c>
      <c r="B56" s="25" t="s">
        <v>222</v>
      </c>
      <c r="C56" s="25" t="s">
        <v>241</v>
      </c>
      <c r="D56" s="25" t="s">
        <v>242</v>
      </c>
      <c r="E56" s="26" t="s">
        <v>67</v>
      </c>
      <c r="F56" s="25" t="s">
        <v>243</v>
      </c>
      <c r="G56" s="25" t="s">
        <v>244</v>
      </c>
      <c r="H56" s="25" t="s">
        <v>112</v>
      </c>
      <c r="I56" s="25" t="s">
        <v>245</v>
      </c>
      <c r="J56" s="25" t="s">
        <v>245</v>
      </c>
      <c r="K56" s="27" t="s">
        <v>41</v>
      </c>
      <c r="L56" s="2"/>
      <c r="M56" s="2"/>
      <c r="N56" s="28"/>
      <c r="O56" s="2"/>
      <c r="P56" s="2"/>
      <c r="Q56" s="2"/>
      <c r="R56" s="2"/>
      <c r="S56" s="2"/>
      <c r="T56" s="21"/>
    </row>
    <row r="57">
      <c r="A57" s="25" t="s">
        <v>33</v>
      </c>
      <c r="B57" s="25" t="s">
        <v>222</v>
      </c>
      <c r="C57" s="25" t="s">
        <v>246</v>
      </c>
      <c r="D57" s="25" t="s">
        <v>247</v>
      </c>
      <c r="E57" s="26" t="s">
        <v>67</v>
      </c>
      <c r="F57" s="25" t="s">
        <v>243</v>
      </c>
      <c r="G57" s="25" t="s">
        <v>248</v>
      </c>
      <c r="H57" s="25" t="s">
        <v>249</v>
      </c>
      <c r="I57" s="25" t="s">
        <v>250</v>
      </c>
      <c r="J57" s="25" t="s">
        <v>250</v>
      </c>
      <c r="K57" s="27" t="s">
        <v>41</v>
      </c>
      <c r="L57" s="2"/>
      <c r="M57" s="2"/>
      <c r="N57" s="28"/>
      <c r="O57" s="2"/>
      <c r="P57" s="2"/>
      <c r="Q57" s="2"/>
      <c r="R57" s="2"/>
      <c r="S57" s="2"/>
      <c r="T57" s="21"/>
    </row>
    <row r="58">
      <c r="A58" s="25" t="s">
        <v>33</v>
      </c>
      <c r="B58" s="25" t="s">
        <v>222</v>
      </c>
      <c r="C58" s="25" t="s">
        <v>251</v>
      </c>
      <c r="D58" s="25" t="s">
        <v>252</v>
      </c>
      <c r="E58" s="26" t="s">
        <v>116</v>
      </c>
      <c r="F58" s="25" t="s">
        <v>253</v>
      </c>
      <c r="G58" s="25" t="s">
        <v>254</v>
      </c>
      <c r="H58" s="25" t="s">
        <v>255</v>
      </c>
      <c r="I58" s="25" t="s">
        <v>256</v>
      </c>
      <c r="J58" s="25" t="s">
        <v>256</v>
      </c>
      <c r="K58" s="27" t="s">
        <v>41</v>
      </c>
      <c r="L58" s="2"/>
      <c r="M58" s="2"/>
      <c r="N58" s="28"/>
      <c r="O58" s="2"/>
      <c r="P58" s="2"/>
      <c r="Q58" s="2"/>
      <c r="R58" s="2"/>
      <c r="S58" s="2"/>
      <c r="T58" s="21"/>
    </row>
    <row r="59">
      <c r="A59" s="25" t="s">
        <v>33</v>
      </c>
      <c r="B59" s="25" t="s">
        <v>222</v>
      </c>
      <c r="C59" s="25" t="s">
        <v>257</v>
      </c>
      <c r="D59" s="25" t="s">
        <v>258</v>
      </c>
      <c r="E59" s="26" t="s">
        <v>36</v>
      </c>
      <c r="F59" s="25" t="s">
        <v>259</v>
      </c>
      <c r="G59" s="25" t="s">
        <v>260</v>
      </c>
      <c r="H59" s="25" t="s">
        <v>261</v>
      </c>
      <c r="I59" s="25" t="s">
        <v>262</v>
      </c>
      <c r="J59" s="25" t="s">
        <v>262</v>
      </c>
      <c r="K59" s="27" t="s">
        <v>41</v>
      </c>
      <c r="L59" s="2"/>
      <c r="M59" s="2"/>
      <c r="N59" s="28"/>
      <c r="O59" s="2"/>
      <c r="P59" s="2"/>
      <c r="Q59" s="2"/>
      <c r="R59" s="2"/>
      <c r="S59" s="2"/>
      <c r="T59" s="21"/>
    </row>
    <row r="60">
      <c r="A60" s="25" t="s">
        <v>33</v>
      </c>
      <c r="B60" s="25" t="s">
        <v>222</v>
      </c>
      <c r="C60" s="25" t="s">
        <v>263</v>
      </c>
      <c r="D60" s="25" t="s">
        <v>264</v>
      </c>
      <c r="E60" s="26" t="s">
        <v>36</v>
      </c>
      <c r="F60" s="25" t="s">
        <v>265</v>
      </c>
      <c r="G60" s="25" t="s">
        <v>266</v>
      </c>
      <c r="H60" s="25" t="s">
        <v>267</v>
      </c>
      <c r="I60" s="25" t="s">
        <v>268</v>
      </c>
      <c r="J60" s="25" t="s">
        <v>268</v>
      </c>
      <c r="K60" s="27" t="s">
        <v>41</v>
      </c>
      <c r="L60" s="2"/>
      <c r="M60" s="2"/>
      <c r="N60" s="28"/>
      <c r="O60" s="2"/>
      <c r="P60" s="2"/>
      <c r="Q60" s="2"/>
      <c r="R60" s="2"/>
      <c r="S60" s="2"/>
      <c r="T60" s="21"/>
    </row>
    <row r="61">
      <c r="A61" s="25" t="s">
        <v>33</v>
      </c>
      <c r="B61" s="25" t="s">
        <v>222</v>
      </c>
      <c r="C61" s="25" t="s">
        <v>269</v>
      </c>
      <c r="D61" s="25" t="s">
        <v>270</v>
      </c>
      <c r="E61" s="26" t="s">
        <v>67</v>
      </c>
      <c r="F61" s="25" t="s">
        <v>271</v>
      </c>
      <c r="G61" s="25" t="s">
        <v>272</v>
      </c>
      <c r="H61" s="25" t="s">
        <v>273</v>
      </c>
      <c r="I61" s="25" t="s">
        <v>274</v>
      </c>
      <c r="J61" s="25" t="s">
        <v>274</v>
      </c>
      <c r="K61" s="27" t="s">
        <v>41</v>
      </c>
      <c r="L61" s="2"/>
      <c r="M61" s="2"/>
      <c r="N61" s="28"/>
      <c r="O61" s="2"/>
      <c r="P61" s="2"/>
      <c r="Q61" s="2"/>
      <c r="R61" s="2"/>
      <c r="S61" s="2"/>
      <c r="T61" s="21"/>
    </row>
    <row r="62">
      <c r="A62" s="25" t="s">
        <v>33</v>
      </c>
      <c r="B62" s="25" t="s">
        <v>222</v>
      </c>
      <c r="C62" s="25" t="s">
        <v>275</v>
      </c>
      <c r="D62" s="25" t="s">
        <v>276</v>
      </c>
      <c r="E62" s="26" t="s">
        <v>67</v>
      </c>
      <c r="F62" s="25" t="s">
        <v>277</v>
      </c>
      <c r="G62" s="25" t="s">
        <v>278</v>
      </c>
      <c r="H62" s="25" t="s">
        <v>279</v>
      </c>
      <c r="I62" s="25" t="s">
        <v>280</v>
      </c>
      <c r="J62" s="25" t="s">
        <v>280</v>
      </c>
      <c r="K62" s="27" t="s">
        <v>41</v>
      </c>
      <c r="L62" s="2"/>
      <c r="M62" s="2"/>
      <c r="N62" s="28"/>
      <c r="O62" s="2"/>
      <c r="P62" s="2"/>
      <c r="Q62" s="2"/>
      <c r="R62" s="2"/>
      <c r="S62" s="2"/>
      <c r="T62" s="21"/>
    </row>
    <row r="63">
      <c r="A63" s="25" t="s">
        <v>33</v>
      </c>
      <c r="B63" s="25" t="s">
        <v>222</v>
      </c>
      <c r="C63" s="25" t="s">
        <v>281</v>
      </c>
      <c r="D63" s="25" t="s">
        <v>282</v>
      </c>
      <c r="E63" s="26" t="s">
        <v>116</v>
      </c>
      <c r="F63" s="25" t="s">
        <v>243</v>
      </c>
      <c r="G63" s="25" t="s">
        <v>283</v>
      </c>
      <c r="H63" s="25" t="s">
        <v>112</v>
      </c>
      <c r="I63" s="25" t="s">
        <v>284</v>
      </c>
      <c r="J63" s="25" t="s">
        <v>284</v>
      </c>
      <c r="K63" s="27" t="s">
        <v>41</v>
      </c>
      <c r="L63" s="2"/>
      <c r="M63" s="2"/>
      <c r="N63" s="28"/>
      <c r="O63" s="2"/>
      <c r="P63" s="2"/>
      <c r="Q63" s="2"/>
      <c r="R63" s="2"/>
      <c r="S63" s="2"/>
      <c r="T63" s="21"/>
    </row>
    <row r="64">
      <c r="A64" s="25" t="s">
        <v>33</v>
      </c>
      <c r="B64" s="25" t="s">
        <v>222</v>
      </c>
      <c r="C64" s="25" t="s">
        <v>285</v>
      </c>
      <c r="D64" s="25" t="s">
        <v>286</v>
      </c>
      <c r="E64" s="26" t="s">
        <v>116</v>
      </c>
      <c r="F64" s="25" t="s">
        <v>287</v>
      </c>
      <c r="G64" s="25" t="s">
        <v>288</v>
      </c>
      <c r="H64" s="25" t="s">
        <v>112</v>
      </c>
      <c r="I64" s="25" t="s">
        <v>289</v>
      </c>
      <c r="J64" s="25" t="s">
        <v>289</v>
      </c>
      <c r="K64" s="27" t="s">
        <v>41</v>
      </c>
      <c r="L64" s="2"/>
      <c r="M64" s="2"/>
      <c r="N64" s="28"/>
      <c r="O64" s="2"/>
      <c r="P64" s="2"/>
      <c r="Q64" s="2"/>
      <c r="R64" s="2"/>
      <c r="S64" s="2"/>
      <c r="T64" s="21"/>
    </row>
    <row r="65">
      <c r="A65" s="22"/>
      <c r="B65" s="22"/>
      <c r="C65" s="23" t="s">
        <v>290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6"/>
      <c r="P65" s="24"/>
      <c r="Q65" s="24"/>
      <c r="R65" s="24"/>
      <c r="S65" s="24"/>
      <c r="T65" s="21"/>
    </row>
    <row r="66">
      <c r="A66" s="25" t="s">
        <v>33</v>
      </c>
      <c r="B66" s="25" t="s">
        <v>290</v>
      </c>
      <c r="C66" s="25" t="s">
        <v>291</v>
      </c>
      <c r="D66" s="25" t="s">
        <v>292</v>
      </c>
      <c r="E66" s="26" t="s">
        <v>36</v>
      </c>
      <c r="F66" s="25" t="s">
        <v>293</v>
      </c>
      <c r="G66" s="25" t="s">
        <v>294</v>
      </c>
      <c r="H66" s="25" t="s">
        <v>295</v>
      </c>
      <c r="I66" s="25" t="s">
        <v>296</v>
      </c>
      <c r="J66" s="25" t="s">
        <v>296</v>
      </c>
      <c r="K66" s="27" t="s">
        <v>41</v>
      </c>
      <c r="L66" s="2"/>
      <c r="M66" s="2"/>
      <c r="N66" s="28"/>
      <c r="O66" s="2"/>
      <c r="P66" s="2"/>
      <c r="Q66" s="2"/>
      <c r="R66" s="2"/>
      <c r="S66" s="2"/>
      <c r="T66" s="21"/>
    </row>
    <row r="67">
      <c r="A67" s="25" t="s">
        <v>33</v>
      </c>
      <c r="B67" s="25" t="s">
        <v>290</v>
      </c>
      <c r="C67" s="25" t="s">
        <v>297</v>
      </c>
      <c r="D67" s="25" t="s">
        <v>298</v>
      </c>
      <c r="E67" s="26" t="s">
        <v>36</v>
      </c>
      <c r="F67" s="25" t="s">
        <v>299</v>
      </c>
      <c r="G67" s="25" t="s">
        <v>300</v>
      </c>
      <c r="H67" s="25" t="s">
        <v>301</v>
      </c>
      <c r="I67" s="25" t="s">
        <v>302</v>
      </c>
      <c r="J67" s="25" t="s">
        <v>302</v>
      </c>
      <c r="K67" s="27" t="s">
        <v>41</v>
      </c>
      <c r="L67" s="2"/>
      <c r="M67" s="2"/>
      <c r="N67" s="28"/>
      <c r="O67" s="2"/>
      <c r="P67" s="2"/>
      <c r="Q67" s="2"/>
      <c r="R67" s="2"/>
      <c r="S67" s="2"/>
      <c r="T67" s="21"/>
    </row>
    <row r="68">
      <c r="A68" s="25" t="s">
        <v>33</v>
      </c>
      <c r="B68" s="25" t="s">
        <v>290</v>
      </c>
      <c r="C68" s="25" t="s">
        <v>303</v>
      </c>
      <c r="D68" s="25" t="s">
        <v>304</v>
      </c>
      <c r="E68" s="26" t="s">
        <v>36</v>
      </c>
      <c r="F68" s="25" t="s">
        <v>299</v>
      </c>
      <c r="G68" s="25" t="s">
        <v>305</v>
      </c>
      <c r="H68" s="25" t="s">
        <v>306</v>
      </c>
      <c r="I68" s="25" t="s">
        <v>307</v>
      </c>
      <c r="J68" s="25" t="s">
        <v>307</v>
      </c>
      <c r="K68" s="27" t="s">
        <v>41</v>
      </c>
      <c r="L68" s="2"/>
      <c r="M68" s="2"/>
      <c r="N68" s="28"/>
      <c r="O68" s="2"/>
      <c r="P68" s="2"/>
      <c r="Q68" s="2"/>
      <c r="R68" s="2"/>
      <c r="S68" s="2"/>
      <c r="T68" s="21"/>
    </row>
    <row r="69">
      <c r="A69" s="25" t="s">
        <v>33</v>
      </c>
      <c r="B69" s="25" t="s">
        <v>290</v>
      </c>
      <c r="C69" s="25" t="s">
        <v>308</v>
      </c>
      <c r="D69" s="25" t="s">
        <v>309</v>
      </c>
      <c r="E69" s="26" t="s">
        <v>36</v>
      </c>
      <c r="F69" s="25" t="s">
        <v>310</v>
      </c>
      <c r="G69" s="25" t="s">
        <v>311</v>
      </c>
      <c r="H69" s="25" t="s">
        <v>312</v>
      </c>
      <c r="I69" s="25" t="s">
        <v>313</v>
      </c>
      <c r="J69" s="25" t="s">
        <v>313</v>
      </c>
      <c r="K69" s="27" t="s">
        <v>41</v>
      </c>
      <c r="L69" s="2"/>
      <c r="M69" s="2"/>
      <c r="N69" s="28"/>
      <c r="O69" s="2"/>
      <c r="P69" s="2"/>
      <c r="Q69" s="2"/>
      <c r="R69" s="2"/>
      <c r="S69" s="2"/>
      <c r="T69" s="21"/>
    </row>
    <row r="70">
      <c r="A70" s="25" t="s">
        <v>33</v>
      </c>
      <c r="B70" s="25" t="s">
        <v>290</v>
      </c>
      <c r="C70" s="25" t="s">
        <v>314</v>
      </c>
      <c r="D70" s="25" t="s">
        <v>315</v>
      </c>
      <c r="E70" s="26" t="s">
        <v>67</v>
      </c>
      <c r="F70" s="25" t="s">
        <v>316</v>
      </c>
      <c r="G70" s="25" t="s">
        <v>317</v>
      </c>
      <c r="H70" s="25" t="s">
        <v>318</v>
      </c>
      <c r="I70" s="25" t="s">
        <v>319</v>
      </c>
      <c r="J70" s="25" t="s">
        <v>319</v>
      </c>
      <c r="K70" s="27" t="s">
        <v>41</v>
      </c>
      <c r="L70" s="2"/>
      <c r="M70" s="2"/>
      <c r="N70" s="28"/>
      <c r="O70" s="2"/>
      <c r="P70" s="2"/>
      <c r="Q70" s="2"/>
      <c r="R70" s="2"/>
      <c r="S70" s="2"/>
      <c r="T70" s="21"/>
    </row>
    <row r="71">
      <c r="A71" s="25" t="s">
        <v>33</v>
      </c>
      <c r="B71" s="25" t="s">
        <v>290</v>
      </c>
      <c r="C71" s="25" t="s">
        <v>320</v>
      </c>
      <c r="D71" s="25" t="s">
        <v>321</v>
      </c>
      <c r="E71" s="26" t="s">
        <v>36</v>
      </c>
      <c r="F71" s="25" t="s">
        <v>316</v>
      </c>
      <c r="G71" s="25" t="s">
        <v>322</v>
      </c>
      <c r="H71" s="25" t="s">
        <v>323</v>
      </c>
      <c r="I71" s="25" t="s">
        <v>324</v>
      </c>
      <c r="J71" s="25" t="s">
        <v>324</v>
      </c>
      <c r="K71" s="27" t="s">
        <v>41</v>
      </c>
      <c r="L71" s="2"/>
      <c r="M71" s="2"/>
      <c r="N71" s="28"/>
      <c r="O71" s="2"/>
      <c r="P71" s="2"/>
      <c r="Q71" s="2"/>
      <c r="R71" s="2"/>
      <c r="S71" s="2"/>
      <c r="T71" s="21"/>
    </row>
    <row r="72">
      <c r="A72" s="25" t="s">
        <v>33</v>
      </c>
      <c r="B72" s="25" t="s">
        <v>290</v>
      </c>
      <c r="C72" s="25" t="s">
        <v>325</v>
      </c>
      <c r="D72" s="25" t="s">
        <v>326</v>
      </c>
      <c r="E72" s="26" t="s">
        <v>67</v>
      </c>
      <c r="F72" s="25" t="s">
        <v>316</v>
      </c>
      <c r="G72" s="25" t="s">
        <v>327</v>
      </c>
      <c r="H72" s="25" t="s">
        <v>328</v>
      </c>
      <c r="I72" s="25" t="s">
        <v>329</v>
      </c>
      <c r="J72" s="25" t="s">
        <v>329</v>
      </c>
      <c r="K72" s="27" t="s">
        <v>41</v>
      </c>
      <c r="L72" s="2"/>
      <c r="M72" s="2"/>
      <c r="N72" s="28"/>
      <c r="O72" s="2"/>
      <c r="P72" s="2"/>
      <c r="Q72" s="2"/>
      <c r="R72" s="2"/>
      <c r="S72" s="2"/>
      <c r="T72" s="21"/>
    </row>
    <row r="73">
      <c r="A73" s="25" t="s">
        <v>33</v>
      </c>
      <c r="B73" s="25" t="s">
        <v>290</v>
      </c>
      <c r="C73" s="25" t="s">
        <v>330</v>
      </c>
      <c r="D73" s="25" t="s">
        <v>331</v>
      </c>
      <c r="E73" s="26" t="s">
        <v>36</v>
      </c>
      <c r="F73" s="25" t="s">
        <v>316</v>
      </c>
      <c r="G73" s="25" t="s">
        <v>332</v>
      </c>
      <c r="H73" s="25" t="s">
        <v>333</v>
      </c>
      <c r="I73" s="25" t="s">
        <v>334</v>
      </c>
      <c r="J73" s="25" t="s">
        <v>334</v>
      </c>
      <c r="K73" s="27" t="s">
        <v>41</v>
      </c>
      <c r="L73" s="2"/>
      <c r="M73" s="2"/>
      <c r="N73" s="28"/>
      <c r="O73" s="2"/>
      <c r="P73" s="2"/>
      <c r="Q73" s="2"/>
      <c r="R73" s="2"/>
      <c r="S73" s="2"/>
      <c r="T73" s="21"/>
    </row>
    <row r="74">
      <c r="A74" s="25" t="s">
        <v>33</v>
      </c>
      <c r="B74" s="25" t="s">
        <v>290</v>
      </c>
      <c r="C74" s="25" t="s">
        <v>335</v>
      </c>
      <c r="D74" s="25" t="s">
        <v>336</v>
      </c>
      <c r="E74" s="26" t="s">
        <v>67</v>
      </c>
      <c r="F74" s="25" t="s">
        <v>316</v>
      </c>
      <c r="G74" s="25" t="s">
        <v>337</v>
      </c>
      <c r="H74" s="25" t="s">
        <v>338</v>
      </c>
      <c r="I74" s="25" t="s">
        <v>339</v>
      </c>
      <c r="J74" s="25" t="s">
        <v>339</v>
      </c>
      <c r="K74" s="27" t="s">
        <v>41</v>
      </c>
      <c r="L74" s="2"/>
      <c r="M74" s="2"/>
      <c r="N74" s="28"/>
      <c r="O74" s="2"/>
      <c r="P74" s="2"/>
      <c r="Q74" s="2"/>
      <c r="R74" s="2"/>
      <c r="S74" s="2"/>
      <c r="T74" s="21"/>
    </row>
    <row r="75">
      <c r="A75" s="25" t="s">
        <v>33</v>
      </c>
      <c r="B75" s="25" t="s">
        <v>290</v>
      </c>
      <c r="C75" s="25" t="s">
        <v>340</v>
      </c>
      <c r="D75" s="25" t="s">
        <v>341</v>
      </c>
      <c r="E75" s="26" t="s">
        <v>67</v>
      </c>
      <c r="F75" s="25" t="s">
        <v>316</v>
      </c>
      <c r="G75" s="25" t="s">
        <v>342</v>
      </c>
      <c r="H75" s="25" t="s">
        <v>343</v>
      </c>
      <c r="I75" s="25" t="s">
        <v>344</v>
      </c>
      <c r="J75" s="25" t="s">
        <v>344</v>
      </c>
      <c r="K75" s="27" t="s">
        <v>41</v>
      </c>
      <c r="L75" s="2"/>
      <c r="M75" s="2"/>
      <c r="N75" s="28"/>
      <c r="O75" s="2"/>
      <c r="P75" s="2"/>
      <c r="Q75" s="2"/>
      <c r="R75" s="2"/>
      <c r="S75" s="2"/>
      <c r="T75" s="21"/>
    </row>
    <row r="76">
      <c r="A76" s="25" t="s">
        <v>33</v>
      </c>
      <c r="B76" s="25" t="s">
        <v>290</v>
      </c>
      <c r="C76" s="25" t="s">
        <v>345</v>
      </c>
      <c r="D76" s="25" t="s">
        <v>346</v>
      </c>
      <c r="E76" s="26" t="s">
        <v>36</v>
      </c>
      <c r="F76" s="25" t="s">
        <v>293</v>
      </c>
      <c r="G76" s="25" t="s">
        <v>347</v>
      </c>
      <c r="H76" s="25" t="s">
        <v>348</v>
      </c>
      <c r="I76" s="25" t="s">
        <v>349</v>
      </c>
      <c r="J76" s="25" t="s">
        <v>349</v>
      </c>
      <c r="K76" s="27" t="s">
        <v>41</v>
      </c>
      <c r="L76" s="2"/>
      <c r="M76" s="2"/>
      <c r="N76" s="28"/>
      <c r="O76" s="2"/>
      <c r="P76" s="2"/>
      <c r="Q76" s="2"/>
      <c r="R76" s="2"/>
      <c r="S76" s="2"/>
      <c r="T76" s="21"/>
    </row>
    <row r="77">
      <c r="A77" s="25" t="s">
        <v>33</v>
      </c>
      <c r="B77" s="25" t="s">
        <v>290</v>
      </c>
      <c r="C77" s="25" t="s">
        <v>350</v>
      </c>
      <c r="D77" s="25" t="s">
        <v>351</v>
      </c>
      <c r="E77" s="26" t="s">
        <v>36</v>
      </c>
      <c r="F77" s="25" t="s">
        <v>293</v>
      </c>
      <c r="G77" s="25" t="s">
        <v>352</v>
      </c>
      <c r="H77" s="25" t="s">
        <v>353</v>
      </c>
      <c r="I77" s="25" t="s">
        <v>354</v>
      </c>
      <c r="J77" s="25" t="s">
        <v>354</v>
      </c>
      <c r="K77" s="27" t="s">
        <v>41</v>
      </c>
      <c r="L77" s="2"/>
      <c r="M77" s="2"/>
      <c r="N77" s="28"/>
      <c r="O77" s="2"/>
      <c r="P77" s="2"/>
      <c r="Q77" s="2"/>
      <c r="R77" s="2"/>
      <c r="S77" s="2"/>
      <c r="T77" s="21"/>
    </row>
    <row r="78">
      <c r="A78" s="25" t="s">
        <v>33</v>
      </c>
      <c r="B78" s="25" t="s">
        <v>290</v>
      </c>
      <c r="C78" s="25" t="s">
        <v>355</v>
      </c>
      <c r="D78" s="25" t="s">
        <v>356</v>
      </c>
      <c r="E78" s="26" t="s">
        <v>116</v>
      </c>
      <c r="F78" s="25" t="s">
        <v>357</v>
      </c>
      <c r="G78" s="25" t="s">
        <v>358</v>
      </c>
      <c r="H78" s="25" t="s">
        <v>359</v>
      </c>
      <c r="I78" s="25" t="s">
        <v>360</v>
      </c>
      <c r="J78" s="25" t="s">
        <v>360</v>
      </c>
      <c r="K78" s="27" t="s">
        <v>41</v>
      </c>
      <c r="L78" s="2"/>
      <c r="M78" s="2"/>
      <c r="N78" s="28"/>
      <c r="O78" s="2"/>
      <c r="P78" s="2"/>
      <c r="Q78" s="2"/>
      <c r="R78" s="2"/>
      <c r="S78" s="2"/>
      <c r="T78" s="21"/>
    </row>
    <row r="79">
      <c r="A79" s="25" t="s">
        <v>33</v>
      </c>
      <c r="B79" s="25" t="s">
        <v>290</v>
      </c>
      <c r="C79" s="25" t="s">
        <v>361</v>
      </c>
      <c r="D79" s="25" t="s">
        <v>362</v>
      </c>
      <c r="E79" s="26" t="s">
        <v>36</v>
      </c>
      <c r="F79" s="25" t="s">
        <v>363</v>
      </c>
      <c r="G79" s="25" t="s">
        <v>364</v>
      </c>
      <c r="H79" s="25" t="s">
        <v>365</v>
      </c>
      <c r="I79" s="25" t="s">
        <v>366</v>
      </c>
      <c r="J79" s="25" t="s">
        <v>366</v>
      </c>
      <c r="K79" s="27" t="s">
        <v>41</v>
      </c>
      <c r="L79" s="2"/>
      <c r="M79" s="2"/>
      <c r="N79" s="28"/>
      <c r="O79" s="2"/>
      <c r="P79" s="2"/>
      <c r="Q79" s="2"/>
      <c r="R79" s="2"/>
      <c r="S79" s="2"/>
      <c r="T79" s="21"/>
    </row>
    <row r="80">
      <c r="A80" s="25" t="s">
        <v>33</v>
      </c>
      <c r="B80" s="25" t="s">
        <v>290</v>
      </c>
      <c r="C80" s="25" t="s">
        <v>367</v>
      </c>
      <c r="D80" s="25" t="s">
        <v>368</v>
      </c>
      <c r="E80" s="26" t="s">
        <v>36</v>
      </c>
      <c r="F80" s="25" t="s">
        <v>369</v>
      </c>
      <c r="G80" s="25" t="s">
        <v>370</v>
      </c>
      <c r="H80" s="25" t="s">
        <v>371</v>
      </c>
      <c r="I80" s="25" t="s">
        <v>372</v>
      </c>
      <c r="J80" s="25" t="s">
        <v>372</v>
      </c>
      <c r="K80" s="27" t="s">
        <v>41</v>
      </c>
      <c r="L80" s="2"/>
      <c r="M80" s="2"/>
      <c r="N80" s="28"/>
      <c r="O80" s="2"/>
      <c r="P80" s="2"/>
      <c r="Q80" s="2"/>
      <c r="R80" s="2"/>
      <c r="S80" s="2"/>
      <c r="T80" s="21"/>
    </row>
    <row r="81">
      <c r="A81" s="25" t="s">
        <v>33</v>
      </c>
      <c r="B81" s="25" t="s">
        <v>290</v>
      </c>
      <c r="C81" s="25" t="s">
        <v>373</v>
      </c>
      <c r="D81" s="25" t="s">
        <v>374</v>
      </c>
      <c r="E81" s="26" t="s">
        <v>67</v>
      </c>
      <c r="F81" s="25" t="s">
        <v>375</v>
      </c>
      <c r="G81" s="25" t="s">
        <v>376</v>
      </c>
      <c r="H81" s="25" t="s">
        <v>377</v>
      </c>
      <c r="I81" s="25" t="s">
        <v>378</v>
      </c>
      <c r="J81" s="25" t="s">
        <v>378</v>
      </c>
      <c r="K81" s="27" t="s">
        <v>41</v>
      </c>
      <c r="L81" s="2"/>
      <c r="M81" s="2"/>
      <c r="N81" s="28"/>
      <c r="O81" s="2"/>
      <c r="P81" s="2"/>
      <c r="Q81" s="2"/>
      <c r="R81" s="2"/>
      <c r="S81" s="2"/>
      <c r="T81" s="21"/>
    </row>
    <row r="82">
      <c r="A82" s="25" t="s">
        <v>33</v>
      </c>
      <c r="B82" s="25" t="s">
        <v>290</v>
      </c>
      <c r="C82" s="25" t="s">
        <v>379</v>
      </c>
      <c r="D82" s="25" t="s">
        <v>380</v>
      </c>
      <c r="E82" s="26" t="s">
        <v>67</v>
      </c>
      <c r="F82" s="25" t="s">
        <v>293</v>
      </c>
      <c r="G82" s="25" t="s">
        <v>381</v>
      </c>
      <c r="H82" s="25" t="s">
        <v>382</v>
      </c>
      <c r="I82" s="25" t="s">
        <v>383</v>
      </c>
      <c r="J82" s="25" t="s">
        <v>383</v>
      </c>
      <c r="K82" s="27" t="s">
        <v>41</v>
      </c>
      <c r="L82" s="2"/>
      <c r="M82" s="2"/>
      <c r="N82" s="28"/>
      <c r="O82" s="2"/>
      <c r="P82" s="2"/>
      <c r="Q82" s="2"/>
      <c r="R82" s="2"/>
      <c r="S82" s="2"/>
      <c r="T82" s="21"/>
    </row>
    <row r="83">
      <c r="A83" s="25" t="s">
        <v>33</v>
      </c>
      <c r="B83" s="25" t="s">
        <v>290</v>
      </c>
      <c r="C83" s="25" t="s">
        <v>384</v>
      </c>
      <c r="D83" s="25" t="s">
        <v>385</v>
      </c>
      <c r="E83" s="26" t="s">
        <v>67</v>
      </c>
      <c r="F83" s="25" t="s">
        <v>386</v>
      </c>
      <c r="G83" s="25" t="s">
        <v>387</v>
      </c>
      <c r="H83" s="25" t="s">
        <v>388</v>
      </c>
      <c r="I83" s="25" t="s">
        <v>389</v>
      </c>
      <c r="J83" s="25" t="s">
        <v>389</v>
      </c>
      <c r="K83" s="27" t="s">
        <v>41</v>
      </c>
      <c r="L83" s="2"/>
      <c r="M83" s="2"/>
      <c r="N83" s="28"/>
      <c r="O83" s="2"/>
      <c r="P83" s="2"/>
      <c r="Q83" s="2"/>
      <c r="R83" s="2"/>
      <c r="S83" s="2"/>
      <c r="T83" s="21"/>
    </row>
    <row r="84">
      <c r="A84" s="25" t="s">
        <v>33</v>
      </c>
      <c r="B84" s="25" t="s">
        <v>290</v>
      </c>
      <c r="C84" s="25" t="s">
        <v>390</v>
      </c>
      <c r="D84" s="25" t="s">
        <v>391</v>
      </c>
      <c r="E84" s="26" t="s">
        <v>67</v>
      </c>
      <c r="F84" s="25" t="s">
        <v>392</v>
      </c>
      <c r="G84" s="25" t="s">
        <v>393</v>
      </c>
      <c r="H84" s="25" t="s">
        <v>112</v>
      </c>
      <c r="I84" s="25" t="s">
        <v>394</v>
      </c>
      <c r="J84" s="25" t="s">
        <v>394</v>
      </c>
      <c r="K84" s="27" t="s">
        <v>41</v>
      </c>
      <c r="L84" s="2"/>
      <c r="M84" s="2"/>
      <c r="N84" s="28"/>
      <c r="O84" s="2"/>
      <c r="P84" s="2"/>
      <c r="Q84" s="2"/>
      <c r="R84" s="2"/>
      <c r="S84" s="2"/>
      <c r="T84" s="21"/>
    </row>
    <row r="85">
      <c r="A85" s="30" t="s">
        <v>395</v>
      </c>
      <c r="C85" s="31"/>
      <c r="D85" s="32" t="s">
        <v>396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21"/>
    </row>
    <row r="86">
      <c r="A86" s="33" t="s">
        <v>33</v>
      </c>
      <c r="B86" s="33" t="s">
        <v>397</v>
      </c>
      <c r="C86" s="33" t="s">
        <v>398</v>
      </c>
      <c r="D86" s="33" t="s">
        <v>399</v>
      </c>
      <c r="E86" s="27" t="s">
        <v>36</v>
      </c>
      <c r="F86" s="33" t="s">
        <v>400</v>
      </c>
      <c r="G86" s="33" t="s">
        <v>401</v>
      </c>
      <c r="H86" s="33" t="s">
        <v>402</v>
      </c>
      <c r="I86" s="33" t="s">
        <v>403</v>
      </c>
      <c r="J86" s="33" t="s">
        <v>403</v>
      </c>
      <c r="K86" s="27" t="s">
        <v>41</v>
      </c>
      <c r="L86" s="2"/>
      <c r="M86" s="2"/>
      <c r="N86" s="2"/>
      <c r="O86" s="27" t="s">
        <v>404</v>
      </c>
      <c r="P86" s="2"/>
      <c r="Q86" s="2"/>
      <c r="R86" s="2"/>
      <c r="S86" s="2"/>
      <c r="T86" s="21"/>
    </row>
    <row r="87">
      <c r="C87" s="33" t="s">
        <v>405</v>
      </c>
      <c r="D87" s="33" t="s">
        <v>406</v>
      </c>
      <c r="E87" s="27" t="s">
        <v>36</v>
      </c>
      <c r="F87" s="33" t="s">
        <v>407</v>
      </c>
      <c r="G87" s="33" t="s">
        <v>408</v>
      </c>
      <c r="H87" s="33" t="s">
        <v>402</v>
      </c>
      <c r="I87" s="33" t="s">
        <v>409</v>
      </c>
      <c r="J87" s="33" t="s">
        <v>409</v>
      </c>
      <c r="K87" s="27" t="s">
        <v>41</v>
      </c>
      <c r="L87" s="2"/>
      <c r="M87" s="2"/>
      <c r="N87" s="2"/>
      <c r="O87" s="27" t="s">
        <v>404</v>
      </c>
      <c r="P87" s="2"/>
      <c r="Q87" s="2"/>
      <c r="R87" s="2"/>
      <c r="S87" s="2"/>
      <c r="T87" s="21"/>
    </row>
    <row r="88">
      <c r="C88" s="33" t="s">
        <v>410</v>
      </c>
      <c r="D88" s="33" t="s">
        <v>411</v>
      </c>
      <c r="E88" s="27" t="s">
        <v>36</v>
      </c>
      <c r="F88" s="33" t="s">
        <v>412</v>
      </c>
      <c r="G88" s="33" t="s">
        <v>413</v>
      </c>
      <c r="H88" s="33" t="s">
        <v>414</v>
      </c>
      <c r="I88" s="33" t="s">
        <v>415</v>
      </c>
      <c r="J88" s="33" t="s">
        <v>415</v>
      </c>
      <c r="K88" s="27" t="s">
        <v>41</v>
      </c>
      <c r="L88" s="2"/>
      <c r="M88" s="2"/>
      <c r="N88" s="2"/>
      <c r="O88" s="27" t="s">
        <v>404</v>
      </c>
      <c r="P88" s="2"/>
      <c r="Q88" s="2"/>
      <c r="R88" s="2"/>
      <c r="S88" s="2"/>
      <c r="T88" s="21"/>
    </row>
    <row r="89">
      <c r="C89" s="33" t="s">
        <v>416</v>
      </c>
      <c r="D89" s="33" t="s">
        <v>417</v>
      </c>
      <c r="E89" s="27" t="s">
        <v>36</v>
      </c>
      <c r="F89" s="33" t="s">
        <v>418</v>
      </c>
      <c r="G89" s="33" t="s">
        <v>419</v>
      </c>
      <c r="H89" s="33" t="s">
        <v>402</v>
      </c>
      <c r="I89" s="33" t="s">
        <v>420</v>
      </c>
      <c r="J89" s="33" t="s">
        <v>420</v>
      </c>
      <c r="K89" s="27" t="s">
        <v>41</v>
      </c>
      <c r="L89" s="2"/>
      <c r="M89" s="2"/>
      <c r="N89" s="2"/>
      <c r="O89" s="27" t="s">
        <v>404</v>
      </c>
      <c r="P89" s="2"/>
      <c r="Q89" s="2"/>
      <c r="R89" s="2"/>
      <c r="S89" s="2"/>
      <c r="T89" s="21"/>
    </row>
    <row r="90">
      <c r="C90" s="33" t="s">
        <v>421</v>
      </c>
      <c r="D90" s="33" t="s">
        <v>422</v>
      </c>
      <c r="E90" s="27" t="s">
        <v>67</v>
      </c>
      <c r="F90" s="33" t="s">
        <v>423</v>
      </c>
      <c r="G90" s="33" t="s">
        <v>424</v>
      </c>
      <c r="H90" s="33" t="s">
        <v>402</v>
      </c>
      <c r="I90" s="33" t="s">
        <v>425</v>
      </c>
      <c r="J90" s="33" t="s">
        <v>425</v>
      </c>
      <c r="K90" s="27" t="s">
        <v>41</v>
      </c>
      <c r="L90" s="2"/>
      <c r="M90" s="2"/>
      <c r="N90" s="2"/>
      <c r="O90" s="27" t="s">
        <v>404</v>
      </c>
      <c r="P90" s="2"/>
      <c r="Q90" s="2"/>
      <c r="R90" s="2"/>
      <c r="S90" s="2"/>
      <c r="T90" s="21"/>
    </row>
    <row r="91">
      <c r="C91" s="33" t="s">
        <v>426</v>
      </c>
      <c r="D91" s="33" t="s">
        <v>427</v>
      </c>
      <c r="E91" s="27" t="s">
        <v>67</v>
      </c>
      <c r="F91" s="33" t="s">
        <v>428</v>
      </c>
      <c r="G91" s="33" t="s">
        <v>429</v>
      </c>
      <c r="H91" s="33" t="s">
        <v>402</v>
      </c>
      <c r="I91" s="33" t="s">
        <v>430</v>
      </c>
      <c r="J91" s="33" t="s">
        <v>430</v>
      </c>
      <c r="K91" s="27" t="s">
        <v>41</v>
      </c>
      <c r="L91" s="2"/>
      <c r="M91" s="2"/>
      <c r="N91" s="2"/>
      <c r="O91" s="27" t="s">
        <v>404</v>
      </c>
      <c r="P91" s="2"/>
      <c r="Q91" s="2"/>
      <c r="R91" s="2"/>
      <c r="S91" s="2"/>
      <c r="T91" s="21"/>
    </row>
    <row r="92">
      <c r="C92" s="33" t="s">
        <v>431</v>
      </c>
      <c r="D92" s="33" t="s">
        <v>432</v>
      </c>
      <c r="E92" s="27" t="s">
        <v>116</v>
      </c>
      <c r="F92" s="33" t="s">
        <v>423</v>
      </c>
      <c r="G92" s="33" t="s">
        <v>433</v>
      </c>
      <c r="H92" s="33" t="s">
        <v>414</v>
      </c>
      <c r="I92" s="33" t="s">
        <v>434</v>
      </c>
      <c r="J92" s="33" t="s">
        <v>434</v>
      </c>
      <c r="K92" s="27" t="s">
        <v>41</v>
      </c>
      <c r="L92" s="2"/>
      <c r="M92" s="2"/>
      <c r="N92" s="2"/>
      <c r="O92" s="27" t="s">
        <v>404</v>
      </c>
      <c r="P92" s="2"/>
      <c r="Q92" s="2"/>
      <c r="R92" s="2"/>
      <c r="S92" s="2"/>
      <c r="T92" s="21"/>
    </row>
    <row r="93">
      <c r="A93" s="34" t="s">
        <v>395</v>
      </c>
      <c r="B93" s="35"/>
      <c r="C93" s="35"/>
      <c r="D93" s="36" t="s">
        <v>435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21"/>
    </row>
    <row r="94">
      <c r="A94" s="33" t="s">
        <v>33</v>
      </c>
      <c r="B94" s="33" t="s">
        <v>436</v>
      </c>
      <c r="C94" s="33" t="s">
        <v>437</v>
      </c>
      <c r="D94" s="33" t="s">
        <v>438</v>
      </c>
      <c r="E94" s="27" t="s">
        <v>36</v>
      </c>
      <c r="F94" s="33" t="s">
        <v>439</v>
      </c>
      <c r="G94" s="33" t="s">
        <v>440</v>
      </c>
      <c r="H94" s="33" t="s">
        <v>46</v>
      </c>
      <c r="I94" s="33" t="s">
        <v>441</v>
      </c>
      <c r="J94" s="33" t="s">
        <v>441</v>
      </c>
      <c r="K94" s="27" t="s">
        <v>41</v>
      </c>
      <c r="L94" s="2"/>
      <c r="M94" s="2"/>
      <c r="N94" s="28"/>
      <c r="O94" s="2"/>
      <c r="P94" s="2"/>
      <c r="Q94" s="2"/>
      <c r="R94" s="2"/>
      <c r="S94" s="2"/>
      <c r="T94" s="21"/>
    </row>
    <row r="95">
      <c r="C95" s="33" t="s">
        <v>442</v>
      </c>
      <c r="D95" s="33" t="s">
        <v>443</v>
      </c>
      <c r="E95" s="27" t="s">
        <v>36</v>
      </c>
      <c r="F95" s="33" t="s">
        <v>444</v>
      </c>
      <c r="G95" s="33" t="s">
        <v>440</v>
      </c>
      <c r="H95" s="33" t="s">
        <v>52</v>
      </c>
      <c r="I95" s="33" t="s">
        <v>445</v>
      </c>
      <c r="J95" s="33" t="s">
        <v>445</v>
      </c>
      <c r="K95" s="27" t="s">
        <v>41</v>
      </c>
      <c r="L95" s="2"/>
      <c r="M95" s="2"/>
      <c r="N95" s="28"/>
      <c r="O95" s="2"/>
      <c r="P95" s="2"/>
      <c r="Q95" s="2"/>
      <c r="R95" s="2"/>
      <c r="S95" s="2"/>
      <c r="T95" s="21"/>
    </row>
    <row r="96">
      <c r="C96" s="33" t="s">
        <v>446</v>
      </c>
      <c r="D96" s="33" t="s">
        <v>447</v>
      </c>
      <c r="E96" s="27" t="s">
        <v>36</v>
      </c>
      <c r="F96" s="33" t="s">
        <v>448</v>
      </c>
      <c r="G96" s="33" t="s">
        <v>449</v>
      </c>
      <c r="H96" s="33" t="s">
        <v>450</v>
      </c>
      <c r="I96" s="33" t="s">
        <v>451</v>
      </c>
      <c r="J96" s="33" t="s">
        <v>451</v>
      </c>
      <c r="K96" s="27" t="s">
        <v>41</v>
      </c>
      <c r="L96" s="2"/>
      <c r="M96" s="2"/>
      <c r="N96" s="28"/>
      <c r="O96" s="2"/>
      <c r="P96" s="2"/>
      <c r="Q96" s="2"/>
      <c r="R96" s="2"/>
      <c r="S96" s="2"/>
      <c r="T96" s="21"/>
    </row>
    <row r="97">
      <c r="C97" s="33" t="s">
        <v>452</v>
      </c>
      <c r="D97" s="33" t="s">
        <v>453</v>
      </c>
      <c r="E97" s="27" t="s">
        <v>67</v>
      </c>
      <c r="F97" s="33" t="s">
        <v>44</v>
      </c>
      <c r="G97" s="33" t="s">
        <v>454</v>
      </c>
      <c r="H97" s="33" t="s">
        <v>450</v>
      </c>
      <c r="I97" s="33" t="s">
        <v>455</v>
      </c>
      <c r="J97" s="33" t="s">
        <v>455</v>
      </c>
      <c r="K97" s="27" t="s">
        <v>41</v>
      </c>
      <c r="L97" s="2"/>
      <c r="M97" s="2"/>
      <c r="N97" s="28"/>
      <c r="O97" s="2"/>
      <c r="P97" s="2"/>
      <c r="Q97" s="2"/>
      <c r="R97" s="2"/>
      <c r="S97" s="2"/>
      <c r="T97" s="21"/>
    </row>
    <row r="98">
      <c r="C98" s="33" t="s">
        <v>456</v>
      </c>
      <c r="D98" s="33" t="s">
        <v>457</v>
      </c>
      <c r="E98" s="27" t="s">
        <v>36</v>
      </c>
      <c r="F98" s="33" t="s">
        <v>458</v>
      </c>
      <c r="G98" s="33" t="s">
        <v>459</v>
      </c>
      <c r="H98" s="33" t="s">
        <v>460</v>
      </c>
      <c r="I98" s="33" t="s">
        <v>461</v>
      </c>
      <c r="J98" s="33" t="s">
        <v>461</v>
      </c>
      <c r="K98" s="27" t="s">
        <v>41</v>
      </c>
      <c r="L98" s="2"/>
      <c r="M98" s="2"/>
      <c r="N98" s="28"/>
      <c r="O98" s="2"/>
      <c r="P98" s="2"/>
      <c r="Q98" s="2"/>
      <c r="R98" s="2"/>
      <c r="S98" s="2"/>
      <c r="T98" s="21"/>
    </row>
    <row r="99">
      <c r="C99" s="33" t="s">
        <v>462</v>
      </c>
      <c r="D99" s="33" t="s">
        <v>463</v>
      </c>
      <c r="E99" s="27" t="s">
        <v>36</v>
      </c>
      <c r="F99" s="33" t="s">
        <v>464</v>
      </c>
      <c r="G99" s="33" t="s">
        <v>465</v>
      </c>
      <c r="H99" s="33" t="s">
        <v>99</v>
      </c>
      <c r="I99" s="33" t="s">
        <v>466</v>
      </c>
      <c r="J99" s="33" t="s">
        <v>466</v>
      </c>
      <c r="K99" s="27" t="s">
        <v>41</v>
      </c>
      <c r="L99" s="2"/>
      <c r="M99" s="2"/>
      <c r="N99" s="28"/>
      <c r="O99" s="2"/>
      <c r="P99" s="2"/>
      <c r="Q99" s="2"/>
      <c r="R99" s="2"/>
      <c r="S99" s="2"/>
      <c r="T99" s="21"/>
    </row>
    <row r="100">
      <c r="C100" s="33" t="s">
        <v>467</v>
      </c>
      <c r="D100" s="33" t="s">
        <v>468</v>
      </c>
      <c r="E100" s="27" t="s">
        <v>36</v>
      </c>
      <c r="F100" s="33" t="s">
        <v>469</v>
      </c>
      <c r="G100" s="33" t="s">
        <v>470</v>
      </c>
      <c r="H100" s="33" t="s">
        <v>99</v>
      </c>
      <c r="I100" s="33" t="s">
        <v>471</v>
      </c>
      <c r="J100" s="33" t="s">
        <v>471</v>
      </c>
      <c r="K100" s="27" t="s">
        <v>41</v>
      </c>
      <c r="L100" s="2"/>
      <c r="M100" s="2"/>
      <c r="N100" s="28"/>
      <c r="O100" s="2"/>
      <c r="P100" s="2"/>
      <c r="Q100" s="2"/>
      <c r="R100" s="2"/>
      <c r="S100" s="2"/>
      <c r="T100" s="21"/>
    </row>
    <row r="101">
      <c r="C101" s="33" t="s">
        <v>472</v>
      </c>
      <c r="D101" s="33" t="s">
        <v>473</v>
      </c>
      <c r="E101" s="27" t="s">
        <v>36</v>
      </c>
      <c r="F101" s="33" t="s">
        <v>474</v>
      </c>
      <c r="G101" s="33" t="s">
        <v>475</v>
      </c>
      <c r="H101" s="33" t="s">
        <v>99</v>
      </c>
      <c r="I101" s="33" t="s">
        <v>476</v>
      </c>
      <c r="J101" s="33" t="s">
        <v>476</v>
      </c>
      <c r="K101" s="27" t="s">
        <v>41</v>
      </c>
      <c r="L101" s="2"/>
      <c r="M101" s="2"/>
      <c r="N101" s="28"/>
      <c r="O101" s="2"/>
      <c r="P101" s="2"/>
      <c r="Q101" s="2"/>
      <c r="R101" s="2"/>
      <c r="S101" s="2"/>
      <c r="T101" s="21"/>
    </row>
    <row r="102">
      <c r="C102" s="33" t="s">
        <v>477</v>
      </c>
      <c r="D102" s="33" t="s">
        <v>478</v>
      </c>
      <c r="E102" s="27" t="s">
        <v>36</v>
      </c>
      <c r="F102" s="33" t="s">
        <v>479</v>
      </c>
      <c r="G102" s="33" t="s">
        <v>480</v>
      </c>
      <c r="H102" s="33" t="s">
        <v>481</v>
      </c>
      <c r="I102" s="33" t="s">
        <v>482</v>
      </c>
      <c r="J102" s="33" t="s">
        <v>482</v>
      </c>
      <c r="K102" s="27" t="s">
        <v>41</v>
      </c>
      <c r="L102" s="2"/>
      <c r="M102" s="2"/>
      <c r="N102" s="28"/>
      <c r="O102" s="2"/>
      <c r="P102" s="2"/>
      <c r="Q102" s="2"/>
      <c r="R102" s="2"/>
      <c r="S102" s="2"/>
      <c r="T102" s="21"/>
    </row>
    <row r="103">
      <c r="C103" s="33" t="s">
        <v>483</v>
      </c>
      <c r="D103" s="33" t="s">
        <v>484</v>
      </c>
      <c r="E103" s="27" t="s">
        <v>36</v>
      </c>
      <c r="F103" s="33" t="s">
        <v>44</v>
      </c>
      <c r="G103" s="33" t="s">
        <v>485</v>
      </c>
      <c r="H103" s="33" t="s">
        <v>450</v>
      </c>
      <c r="I103" s="33" t="s">
        <v>486</v>
      </c>
      <c r="J103" s="33" t="s">
        <v>486</v>
      </c>
      <c r="K103" s="27" t="s">
        <v>41</v>
      </c>
      <c r="L103" s="2"/>
      <c r="M103" s="2"/>
      <c r="N103" s="28"/>
      <c r="O103" s="2"/>
      <c r="P103" s="2"/>
      <c r="Q103" s="2"/>
      <c r="R103" s="2"/>
      <c r="S103" s="2"/>
      <c r="T103" s="21"/>
    </row>
    <row r="104">
      <c r="C104" s="33" t="s">
        <v>487</v>
      </c>
      <c r="D104" s="33" t="s">
        <v>488</v>
      </c>
      <c r="E104" s="27" t="s">
        <v>36</v>
      </c>
      <c r="F104" s="33" t="s">
        <v>489</v>
      </c>
      <c r="G104" s="33" t="s">
        <v>490</v>
      </c>
      <c r="H104" s="33" t="s">
        <v>450</v>
      </c>
      <c r="I104" s="33" t="s">
        <v>491</v>
      </c>
      <c r="J104" s="33" t="s">
        <v>491</v>
      </c>
      <c r="K104" s="27" t="s">
        <v>41</v>
      </c>
      <c r="L104" s="2"/>
      <c r="M104" s="2"/>
      <c r="N104" s="28"/>
      <c r="O104" s="2"/>
      <c r="P104" s="2"/>
      <c r="Q104" s="2"/>
      <c r="R104" s="2"/>
      <c r="S104" s="2"/>
      <c r="T104" s="21"/>
    </row>
    <row r="105">
      <c r="C105" s="33" t="s">
        <v>492</v>
      </c>
      <c r="D105" s="33" t="s">
        <v>493</v>
      </c>
      <c r="E105" s="27" t="s">
        <v>67</v>
      </c>
      <c r="F105" s="33" t="s">
        <v>494</v>
      </c>
      <c r="G105" s="33" t="s">
        <v>495</v>
      </c>
      <c r="H105" s="33" t="s">
        <v>450</v>
      </c>
      <c r="I105" s="33" t="s">
        <v>496</v>
      </c>
      <c r="J105" s="33" t="s">
        <v>496</v>
      </c>
      <c r="K105" s="27" t="s">
        <v>41</v>
      </c>
      <c r="L105" s="2"/>
      <c r="M105" s="2"/>
      <c r="N105" s="28"/>
      <c r="O105" s="2"/>
      <c r="P105" s="2"/>
      <c r="Q105" s="2"/>
      <c r="R105" s="2"/>
      <c r="S105" s="2"/>
      <c r="T105" s="21"/>
    </row>
    <row r="106">
      <c r="C106" s="33" t="s">
        <v>497</v>
      </c>
      <c r="D106" s="33" t="s">
        <v>498</v>
      </c>
      <c r="E106" s="27" t="s">
        <v>67</v>
      </c>
      <c r="F106" s="33" t="s">
        <v>499</v>
      </c>
      <c r="G106" s="33" t="s">
        <v>500</v>
      </c>
      <c r="H106" s="33" t="s">
        <v>450</v>
      </c>
      <c r="I106" s="33" t="s">
        <v>501</v>
      </c>
      <c r="J106" s="33" t="s">
        <v>501</v>
      </c>
      <c r="K106" s="27" t="s">
        <v>41</v>
      </c>
      <c r="L106" s="2"/>
      <c r="M106" s="2"/>
      <c r="N106" s="28"/>
      <c r="O106" s="2"/>
      <c r="P106" s="2"/>
      <c r="Q106" s="2"/>
      <c r="R106" s="2"/>
      <c r="S106" s="2"/>
      <c r="T106" s="21"/>
    </row>
    <row r="107">
      <c r="C107" s="33" t="s">
        <v>502</v>
      </c>
      <c r="D107" s="33" t="s">
        <v>503</v>
      </c>
      <c r="E107" s="27" t="s">
        <v>67</v>
      </c>
      <c r="F107" s="33" t="s">
        <v>504</v>
      </c>
      <c r="G107" s="33" t="s">
        <v>505</v>
      </c>
      <c r="H107" s="33" t="s">
        <v>99</v>
      </c>
      <c r="I107" s="33" t="s">
        <v>506</v>
      </c>
      <c r="J107" s="33" t="s">
        <v>506</v>
      </c>
      <c r="K107" s="27" t="s">
        <v>41</v>
      </c>
      <c r="L107" s="2"/>
      <c r="M107" s="2"/>
      <c r="N107" s="28"/>
      <c r="O107" s="2"/>
      <c r="P107" s="2"/>
      <c r="Q107" s="2"/>
      <c r="R107" s="2"/>
      <c r="S107" s="2"/>
      <c r="T107" s="21"/>
    </row>
    <row r="108">
      <c r="C108" s="33" t="s">
        <v>507</v>
      </c>
      <c r="D108" s="33" t="s">
        <v>508</v>
      </c>
      <c r="E108" s="27" t="s">
        <v>67</v>
      </c>
      <c r="F108" s="33" t="s">
        <v>509</v>
      </c>
      <c r="G108" s="33" t="s">
        <v>510</v>
      </c>
      <c r="H108" s="33" t="s">
        <v>511</v>
      </c>
      <c r="I108" s="33" t="s">
        <v>512</v>
      </c>
      <c r="J108" s="33" t="s">
        <v>512</v>
      </c>
      <c r="K108" s="27" t="s">
        <v>41</v>
      </c>
      <c r="L108" s="2"/>
      <c r="M108" s="2"/>
      <c r="N108" s="28"/>
      <c r="O108" s="2"/>
      <c r="P108" s="2"/>
      <c r="Q108" s="2"/>
      <c r="R108" s="2"/>
      <c r="S108" s="2"/>
      <c r="T108" s="21"/>
    </row>
    <row r="109">
      <c r="C109" s="33" t="s">
        <v>513</v>
      </c>
      <c r="D109" s="33" t="s">
        <v>514</v>
      </c>
      <c r="E109" s="27" t="s">
        <v>36</v>
      </c>
      <c r="F109" s="33" t="s">
        <v>515</v>
      </c>
      <c r="G109" s="33" t="s">
        <v>516</v>
      </c>
      <c r="H109" s="33" t="s">
        <v>517</v>
      </c>
      <c r="I109" s="33" t="s">
        <v>518</v>
      </c>
      <c r="J109" s="33" t="s">
        <v>518</v>
      </c>
      <c r="K109" s="27" t="s">
        <v>41</v>
      </c>
      <c r="L109" s="2"/>
      <c r="M109" s="2"/>
      <c r="N109" s="28"/>
      <c r="O109" s="2"/>
      <c r="P109" s="2"/>
      <c r="Q109" s="2"/>
      <c r="R109" s="2"/>
      <c r="S109" s="2"/>
      <c r="T109" s="21"/>
    </row>
    <row r="110">
      <c r="C110" s="33" t="s">
        <v>519</v>
      </c>
      <c r="D110" s="33" t="s">
        <v>520</v>
      </c>
      <c r="E110" s="27" t="s">
        <v>36</v>
      </c>
      <c r="F110" s="33" t="s">
        <v>521</v>
      </c>
      <c r="G110" s="33" t="s">
        <v>522</v>
      </c>
      <c r="H110" s="33" t="s">
        <v>523</v>
      </c>
      <c r="I110" s="33" t="s">
        <v>524</v>
      </c>
      <c r="J110" s="33" t="s">
        <v>524</v>
      </c>
      <c r="K110" s="27" t="s">
        <v>41</v>
      </c>
      <c r="L110" s="2"/>
      <c r="M110" s="2"/>
      <c r="N110" s="28"/>
      <c r="O110" s="2"/>
      <c r="P110" s="2"/>
      <c r="Q110" s="2"/>
      <c r="R110" s="2"/>
      <c r="S110" s="2"/>
      <c r="T110" s="21"/>
    </row>
    <row r="111">
      <c r="C111" s="33" t="s">
        <v>525</v>
      </c>
      <c r="D111" s="33" t="s">
        <v>526</v>
      </c>
      <c r="E111" s="27" t="s">
        <v>67</v>
      </c>
      <c r="F111" s="33" t="s">
        <v>527</v>
      </c>
      <c r="G111" s="33" t="s">
        <v>528</v>
      </c>
      <c r="H111" s="33" t="s">
        <v>529</v>
      </c>
      <c r="I111" s="33" t="s">
        <v>530</v>
      </c>
      <c r="J111" s="33" t="s">
        <v>530</v>
      </c>
      <c r="K111" s="27" t="s">
        <v>41</v>
      </c>
      <c r="L111" s="2"/>
      <c r="M111" s="2"/>
      <c r="N111" s="28"/>
      <c r="O111" s="2"/>
      <c r="P111" s="2"/>
      <c r="Q111" s="2"/>
      <c r="R111" s="2"/>
      <c r="S111" s="2"/>
      <c r="T111" s="21"/>
    </row>
    <row r="112">
      <c r="C112" s="33" t="s">
        <v>531</v>
      </c>
      <c r="D112" s="33" t="s">
        <v>532</v>
      </c>
      <c r="E112" s="27" t="s">
        <v>67</v>
      </c>
      <c r="F112" s="33" t="s">
        <v>533</v>
      </c>
      <c r="G112" s="33" t="s">
        <v>534</v>
      </c>
      <c r="H112" s="33" t="s">
        <v>535</v>
      </c>
      <c r="I112" s="33" t="s">
        <v>536</v>
      </c>
      <c r="J112" s="33" t="s">
        <v>536</v>
      </c>
      <c r="K112" s="27" t="s">
        <v>41</v>
      </c>
      <c r="L112" s="2"/>
      <c r="M112" s="2"/>
      <c r="N112" s="28"/>
      <c r="O112" s="2"/>
      <c r="P112" s="2"/>
      <c r="Q112" s="2"/>
      <c r="R112" s="2"/>
      <c r="S112" s="2"/>
      <c r="T112" s="21"/>
    </row>
    <row r="113">
      <c r="C113" s="33" t="s">
        <v>537</v>
      </c>
      <c r="D113" s="33" t="s">
        <v>538</v>
      </c>
      <c r="E113" s="27" t="s">
        <v>116</v>
      </c>
      <c r="F113" s="33" t="s">
        <v>539</v>
      </c>
      <c r="G113" s="33" t="s">
        <v>540</v>
      </c>
      <c r="H113" s="33" t="s">
        <v>541</v>
      </c>
      <c r="I113" s="33" t="s">
        <v>542</v>
      </c>
      <c r="J113" s="33" t="s">
        <v>542</v>
      </c>
      <c r="K113" s="27" t="s">
        <v>41</v>
      </c>
      <c r="L113" s="2"/>
      <c r="M113" s="2"/>
      <c r="N113" s="28"/>
      <c r="O113" s="2"/>
      <c r="P113" s="2"/>
      <c r="Q113" s="2"/>
      <c r="R113" s="2"/>
      <c r="S113" s="2"/>
      <c r="T113" s="21"/>
    </row>
    <row r="114">
      <c r="C114" s="33" t="s">
        <v>543</v>
      </c>
      <c r="D114" s="33" t="s">
        <v>544</v>
      </c>
      <c r="E114" s="27" t="s">
        <v>116</v>
      </c>
      <c r="F114" s="33" t="s">
        <v>545</v>
      </c>
      <c r="G114" s="33" t="s">
        <v>546</v>
      </c>
      <c r="H114" s="33" t="s">
        <v>547</v>
      </c>
      <c r="I114" s="33" t="s">
        <v>548</v>
      </c>
      <c r="J114" s="33" t="s">
        <v>548</v>
      </c>
      <c r="K114" s="27" t="s">
        <v>41</v>
      </c>
      <c r="L114" s="2"/>
      <c r="M114" s="2"/>
      <c r="N114" s="28"/>
      <c r="O114" s="2"/>
      <c r="P114" s="2"/>
      <c r="Q114" s="2"/>
      <c r="R114" s="2"/>
      <c r="S114" s="2"/>
      <c r="T114" s="21"/>
    </row>
  </sheetData>
  <mergeCells count="46">
    <mergeCell ref="A11:E11"/>
    <mergeCell ref="F11:H15"/>
    <mergeCell ref="I13:J13"/>
    <mergeCell ref="K13:N13"/>
    <mergeCell ref="I14:J14"/>
    <mergeCell ref="K14:N14"/>
    <mergeCell ref="I15:J15"/>
    <mergeCell ref="K15:N15"/>
    <mergeCell ref="B16:O16"/>
    <mergeCell ref="C17:O17"/>
    <mergeCell ref="C29:O29"/>
    <mergeCell ref="A1:N1"/>
    <mergeCell ref="B2:N2"/>
    <mergeCell ref="B3:N3"/>
    <mergeCell ref="B4:N4"/>
    <mergeCell ref="D85:E85"/>
    <mergeCell ref="D93:E93"/>
    <mergeCell ref="A94:A114"/>
    <mergeCell ref="B94:B114"/>
    <mergeCell ref="C36:O36"/>
    <mergeCell ref="C49:O49"/>
    <mergeCell ref="C52:O52"/>
    <mergeCell ref="C65:O65"/>
    <mergeCell ref="A85:B85"/>
    <mergeCell ref="A86:A92"/>
    <mergeCell ref="B86:B92"/>
    <mergeCell ref="B5:N5"/>
    <mergeCell ref="B6:N6"/>
    <mergeCell ref="B7:N7"/>
    <mergeCell ref="B8:N8"/>
    <mergeCell ref="B9:N9"/>
    <mergeCell ref="B10:N10"/>
    <mergeCell ref="I11:J11"/>
    <mergeCell ref="K11:N11"/>
    <mergeCell ref="O11:P11"/>
    <mergeCell ref="Q11:T11"/>
    <mergeCell ref="O14:P14"/>
    <mergeCell ref="O15:P15"/>
    <mergeCell ref="Q15:T15"/>
    <mergeCell ref="I12:J12"/>
    <mergeCell ref="K12:N12"/>
    <mergeCell ref="O12:P12"/>
    <mergeCell ref="Q12:T12"/>
    <mergeCell ref="O13:P13"/>
    <mergeCell ref="Q13:T13"/>
    <mergeCell ref="Q14:T14"/>
  </mergeCells>
  <dataValidations>
    <dataValidation type="list" allowBlank="1" sqref="K18:M28 K30:M35 K37:M48 K50:M51 K53:M64 K66:M84 K86:K92 K94:M114">
      <formula1>"Passed,Failed,Not Executed,Pending"</formula1>
    </dataValidation>
    <dataValidation type="list" allowBlank="1" showErrorMessage="1" sqref="O18:Q28 O30:Q35 O37:Q48 O50:Q51 O53:Q64 O66:Q84 O86:Q92 O94:Q114">
      <formula1>"P,F,PE"</formula1>
    </dataValidation>
  </dataValidations>
  <hyperlinks>
    <hyperlink r:id="rId1" ref="D85"/>
    <hyperlink r:id="rId2" ref="D93"/>
  </hyperlinks>
  <drawing r:id="rId3"/>
</worksheet>
</file>