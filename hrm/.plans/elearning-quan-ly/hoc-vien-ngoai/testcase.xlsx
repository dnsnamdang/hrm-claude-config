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cVienNgo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  <color rgb="00FFFFFF"/>
      <sz val="14"/>
    </font>
    <font>
      <b val="1"/>
      <color rgb="00FFFFFF"/>
      <sz val="12"/>
    </font>
    <font>
      <b val="1"/>
      <color rgb="00FFFFFF"/>
      <sz val="11"/>
    </font>
    <font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5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4" customWidth="1" min="3" max="3"/>
    <col width="40" customWidth="1" min="4" max="4"/>
    <col width="9" customWidth="1" min="5" max="5"/>
    <col width="32" customWidth="1" min="6" max="6"/>
    <col width="46" customWidth="1" min="7" max="7"/>
    <col width="26" customWidth="1" min="8" max="8"/>
    <col width="56" customWidth="1" min="9" max="9"/>
    <col width="34" customWidth="1" min="10" max="10"/>
    <col width="16" customWidth="1" min="11" max="11"/>
    <col width="14" customWidth="1" min="12" max="12"/>
    <col width="14" customWidth="1" min="13" max="13"/>
    <col width="14" customWidth="1" min="14" max="14"/>
    <col width="16" customWidth="1" min="15" max="15"/>
  </cols>
  <sheetData>
    <row r="1" ht="22" customHeight="1">
      <c r="A1" s="1" t="inlineStr">
        <is>
          <t>MÔ TẢ TÍNH NĂNG (đọc trước khi xem testcase)</t>
        </is>
      </c>
    </row>
    <row r="2" ht="40" customHeight="1">
      <c r="A2" s="2" t="inlineStr">
        <is>
          <t>1. Mục đích tính năng</t>
        </is>
      </c>
      <c r="B2" s="3" t="inlineStr">
        <is>
          <t>Màn 'Quản lý học viên ngoài công ty' để xem/tìm kiếm/xem nhanh/khoá-mở khoá tài khoản học viên tự đăng ký (qua Form hoặc Google Auth) và xuất Excel. Read-only về hồ sơ, chỉ đổi trạng thái tài khoản.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5" t="n"/>
    </row>
    <row r="3" ht="78" customHeight="1">
      <c r="A3" s="2" t="inlineStr">
        <is>
          <t>2. Đối tượng được tính / hiển thị</t>
        </is>
      </c>
      <c r="B3" s="3" t="inlineStr">
        <is>
          <t>► Tất cả học viên ngoài.
► Trạng thái: 'Đang hoạt động' / 'Đã khoá'.
► Nguồn đăng ký hiển thị pill: 'Form' / 'Google'.
► Modal xem nhanh có tóm tắt: Đã đăng ký / Đang học / Hoàn thành / Tổng cộng.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5" t="n"/>
    </row>
    <row r="4" ht="46" customHeight="1">
      <c r="A4" s="2" t="inlineStr">
        <is>
          <t>3. Đối tượng bị ẩn / không tính</t>
        </is>
      </c>
      <c r="B4" s="3" t="inlineStr">
        <is>
          <t>► Nhân viên nội bộ HRM KHÔNG hiển thị ở màn này (màn chỉ quản lý học viên tự đăng ký).
► Không có tạo/sửa hồ sơ học viên.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5" t="n"/>
    </row>
    <row r="5" ht="40" customHeight="1">
      <c r="A5" s="2" t="inlineStr">
        <is>
          <t>4. Bộ lọc thời gian áp dụng cho</t>
        </is>
      </c>
      <c r="B5" s="3" t="inlineStr">
        <is>
          <t>'Ngày đăng ký từ' ... 'đến' lọc theo ngày đăng ký tài khoản.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5" t="n"/>
    </row>
    <row r="6" ht="40" customHeight="1">
      <c r="A6" s="2" t="inlineStr">
        <is>
          <t>5. Cấu trúc dữ liệu / cây phân cấp</t>
        </is>
      </c>
      <c r="B6" s="3" t="inlineStr">
        <is>
          <t>Danh sách phẳng. Mỗi học viên có tóm tắt học tập (xem qua nút 'Xem nhanh').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5" t="n"/>
    </row>
    <row r="7" ht="40" customHeight="1">
      <c r="A7" s="2" t="inlineStr">
        <is>
          <t>6. Quy tắc cộng dồn / deduplicate</t>
        </is>
      </c>
      <c r="B7" s="3" t="inlineStr">
        <is>
          <t>Tìm kiếm khớp Họ tên HOẶC Email HOẶC Số điện thoại. Tóm tắt học tập đếm theo trạng thái khóa đã đăng ký.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5" t="n"/>
    </row>
    <row r="8" ht="40" customHeight="1">
      <c r="A8" s="2" t="inlineStr">
        <is>
          <t>7. Phân quyền cấp</t>
        </is>
      </c>
      <c r="B8" s="3" t="inlineStr">
        <is>
          <t>• Truy cập qua menu Đào tạo (đăng nhập). Không phân quyền theo công ty/phòng ban. Chỉ read-only + khoá/mở tài khoản.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5" t="n"/>
    </row>
    <row r="9" ht="40" customHeight="1">
      <c r="A9" s="2" t="inlineStr">
        <is>
          <t>8. Cách tính các ô thống kê</t>
        </is>
      </c>
      <c r="B9" s="3" t="inlineStr">
        <is>
          <t>Modal xem nhanh: 'Đã đăng ký' = số khóa trạng thái đăng ký; 'Đang học' = đang học; 'Hoàn thành' = hoàn thành; 'Tổng cộng' = tổng khóa đã đăng ký.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5" t="n"/>
    </row>
    <row r="10" ht="40" customHeight="1">
      <c r="A10" s="2" t="inlineStr">
        <is>
          <t>9. Ghi chú đọc bảng</t>
        </is>
      </c>
      <c r="B10" s="3" t="inlineStr">
        <is>
          <t>Trạng thái tài khoản dùng chữ 'Đang hoạt động'/'Đã khoá'. Nút 'Xem báo cáo chi tiết' trong modal hiện đang bị vô hiệu. File Excel tải về: danh-sach-hoc-vien-ngoai.xls.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5" t="n"/>
    </row>
    <row r="11" ht="28" customHeight="1">
      <c r="A11" s="6" t="inlineStr">
        <is>
          <t>Testcase _ Học viên ngoài công ty</t>
        </is>
      </c>
      <c r="F11" s="7" t="inlineStr">
        <is>
          <t>TEST SUMMARY</t>
        </is>
      </c>
      <c r="I11" s="8" t="inlineStr">
        <is>
          <t>Số trường hợp kiểm thử đạt (P):</t>
        </is>
      </c>
      <c r="J11" s="4" t="n"/>
      <c r="K11" s="5" t="n"/>
      <c r="L11" s="9">
        <f>COUNTIF(L18:N500,"Passed")</f>
        <v/>
      </c>
      <c r="M11" s="4" t="n"/>
      <c r="N11" s="4" t="n"/>
      <c r="O11" s="5" t="n"/>
    </row>
    <row r="12" ht="22" customHeight="1">
      <c r="I12" s="8" t="inlineStr">
        <is>
          <t>Số trường hợp kiểm thử không đạt (F):</t>
        </is>
      </c>
      <c r="J12" s="4" t="n"/>
      <c r="K12" s="5" t="n"/>
      <c r="L12" s="9">
        <f>COUNTIF(L18:N500,"Failed")</f>
        <v/>
      </c>
      <c r="M12" s="4" t="n"/>
      <c r="N12" s="4" t="n"/>
      <c r="O12" s="5" t="n"/>
    </row>
    <row r="13" ht="22" customHeight="1">
      <c r="I13" s="8" t="inlineStr">
        <is>
          <t>Số trường hợp kiểm thử đang xem xét:</t>
        </is>
      </c>
      <c r="J13" s="4" t="n"/>
      <c r="K13" s="5" t="n"/>
      <c r="L13" s="9">
        <f>COUNTIF(L18:N500,"Pending")</f>
        <v/>
      </c>
      <c r="M13" s="4" t="n"/>
      <c r="N13" s="4" t="n"/>
      <c r="O13" s="5" t="n"/>
    </row>
    <row r="14" ht="22" customHeight="1">
      <c r="I14" s="8" t="inlineStr">
        <is>
          <t>Số trường hợp kiểm thử chưa thực hiện:</t>
        </is>
      </c>
      <c r="J14" s="4" t="n"/>
      <c r="K14" s="5" t="n"/>
      <c r="L14" s="9">
        <f>COUNTIF(L18:N500,"Not Executed")</f>
        <v/>
      </c>
      <c r="M14" s="4" t="n"/>
      <c r="N14" s="4" t="n"/>
      <c r="O14" s="5" t="n"/>
    </row>
    <row r="15" ht="22" customHeight="1">
      <c r="I15" s="8" t="inlineStr">
        <is>
          <t>Tổng số trường hợp kiểm thử:</t>
        </is>
      </c>
      <c r="J15" s="4" t="n"/>
      <c r="K15" s="5" t="n"/>
      <c r="L15" s="9">
        <f>COUNTIF(L18:N500,"&lt;&gt;")</f>
        <v/>
      </c>
      <c r="M15" s="4" t="n"/>
      <c r="N15" s="4" t="n"/>
      <c r="O15" s="5" t="n"/>
    </row>
    <row r="16" ht="8" customHeight="1"/>
    <row r="17" ht="36" customHeight="1">
      <c r="A17" s="10" t="inlineStr">
        <is>
          <t>Module</t>
        </is>
      </c>
      <c r="B17" s="10" t="inlineStr">
        <is>
          <t>Nhóm chức năng</t>
        </is>
      </c>
      <c r="C17" s="10" t="inlineStr">
        <is>
          <t>TC ID</t>
        </is>
      </c>
      <c r="D17" s="10" t="inlineStr">
        <is>
          <t>Chức năng</t>
        </is>
      </c>
      <c r="E17" s="10" t="inlineStr">
        <is>
          <t>Priority</t>
        </is>
      </c>
      <c r="F17" s="10" t="inlineStr">
        <is>
          <t>Tiền điều kiện</t>
        </is>
      </c>
      <c r="G17" s="10" t="inlineStr">
        <is>
          <t>Bước thực hiện</t>
        </is>
      </c>
      <c r="H17" s="10" t="inlineStr">
        <is>
          <t>Test Data</t>
        </is>
      </c>
      <c r="I17" s="10" t="inlineStr">
        <is>
          <t>Expected Result (chi tiết)</t>
        </is>
      </c>
      <c r="J17" s="10" t="inlineStr">
        <is>
          <t>Giải thích nghiệp vụ</t>
        </is>
      </c>
      <c r="K17" s="10" t="inlineStr">
        <is>
          <t>KQ thực tế</t>
        </is>
      </c>
      <c r="L17" s="10" t="inlineStr">
        <is>
          <t>trạng thái check lần 1</t>
        </is>
      </c>
      <c r="M17" s="10" t="inlineStr">
        <is>
          <t>trạng thái check lần 2</t>
        </is>
      </c>
      <c r="N17" s="10" t="inlineStr">
        <is>
          <t>trạng thái check lần 3</t>
        </is>
      </c>
      <c r="O17" s="10" t="inlineStr">
        <is>
          <t>Ghi chú</t>
        </is>
      </c>
    </row>
    <row r="18" ht="26" customHeight="1">
      <c r="A18" s="11" t="n"/>
      <c r="B18" s="11" t="n"/>
      <c r="C18" s="12" t="inlineStr">
        <is>
          <t>I. HIỂN THỊ &amp; LỌC</t>
        </is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5" t="n"/>
    </row>
    <row r="19" ht="44" customHeight="1">
      <c r="A19" s="3" t="inlineStr">
        <is>
          <t>Học viên ngoài</t>
        </is>
      </c>
      <c r="B19" s="3" t="inlineStr">
        <is>
          <t>HIỂN THỊ &amp; LỌC</t>
        </is>
      </c>
      <c r="C19" s="3" t="inlineStr">
        <is>
          <t>TC_01.001</t>
        </is>
      </c>
      <c r="D19" s="3" t="inlineStr">
        <is>
          <t>Xem danh sách mặc định</t>
        </is>
      </c>
      <c r="E19" s="13" t="inlineStr">
        <is>
          <t>P0</t>
        </is>
      </c>
      <c r="F19" s="3" t="inlineStr">
        <is>
          <t>Có 40 học viên ngoài</t>
        </is>
      </c>
      <c r="G19" s="3" t="inlineStr">
        <is>
          <t>1. Vào menu Đào tạo &gt; Quản lý học viên ngoài công ty
2. Quan sát bảng 'Danh sách học viên ngoài công ty'</t>
        </is>
      </c>
      <c r="H19" s="3" t="inlineStr">
        <is>
          <t>—</t>
        </is>
      </c>
      <c r="I19" s="3" t="inlineStr">
        <is>
          <t>- Cột: STT, Họ tên • Email, Số điện thoại, Công ty, Chức vụ, Nguồn đăng ký, Ngày đăng ký, Trạng thái, Hành động
- Phân trang tổng 40</t>
        </is>
      </c>
      <c r="J19" s="3" t="inlineStr">
        <is>
          <t>—</t>
        </is>
      </c>
      <c r="K19" s="3" t="inlineStr"/>
      <c r="L19" s="3" t="inlineStr">
        <is>
          <t>Not Executed</t>
        </is>
      </c>
      <c r="M19" s="3" t="inlineStr">
        <is>
          <t>Not Executed</t>
        </is>
      </c>
      <c r="N19" s="3" t="inlineStr">
        <is>
          <t>Not Executed</t>
        </is>
      </c>
      <c r="O19" s="3" t="inlineStr"/>
    </row>
    <row r="20" ht="30" customHeight="1">
      <c r="A20" s="14" t="inlineStr">
        <is>
          <t>Học viên ngoài</t>
        </is>
      </c>
      <c r="B20" s="14" t="inlineStr">
        <is>
          <t>HIỂN THỊ &amp; LỌC</t>
        </is>
      </c>
      <c r="C20" s="14" t="inlineStr">
        <is>
          <t>TC_01.002</t>
        </is>
      </c>
      <c r="D20" s="14" t="inlineStr">
        <is>
          <t>Tìm theo tên/email/SĐT</t>
        </is>
      </c>
      <c r="E20" s="15" t="inlineStr">
        <is>
          <t>P0</t>
        </is>
      </c>
      <c r="F20" s="14" t="inlineStr">
        <is>
          <t>Có học viên 'Nguyễn An', email an@x.com, SĐT 0900</t>
        </is>
      </c>
      <c r="G20" s="14" t="inlineStr">
        <is>
          <t>1. Gõ 'an' vào ô 'Tìm theo tên, email, số điện thoại...'</t>
        </is>
      </c>
      <c r="H20" s="14" t="inlineStr">
        <is>
          <t>Từ khóa: an</t>
        </is>
      </c>
      <c r="I20" s="14" t="inlineStr">
        <is>
          <t>- Bảng hiện học viên khớp tên/email/SĐT chứa 'an'</t>
        </is>
      </c>
      <c r="J20" s="14" t="inlineStr">
        <is>
          <t>Khớp tên/email/SĐT</t>
        </is>
      </c>
      <c r="K20" s="14" t="inlineStr"/>
      <c r="L20" s="14" t="inlineStr">
        <is>
          <t>Not Executed</t>
        </is>
      </c>
      <c r="M20" s="14" t="inlineStr">
        <is>
          <t>Not Executed</t>
        </is>
      </c>
      <c r="N20" s="14" t="inlineStr">
        <is>
          <t>Not Executed</t>
        </is>
      </c>
      <c r="O20" s="14" t="inlineStr"/>
    </row>
    <row r="21" ht="30" customHeight="1">
      <c r="A21" s="3" t="inlineStr">
        <is>
          <t>Học viên ngoài</t>
        </is>
      </c>
      <c r="B21" s="3" t="inlineStr">
        <is>
          <t>HIỂN THỊ &amp; LỌC</t>
        </is>
      </c>
      <c r="C21" s="3" t="inlineStr">
        <is>
          <t>TC_01.003</t>
        </is>
      </c>
      <c r="D21" s="3" t="inlineStr">
        <is>
          <t>Lọc Nguồn đăng ký = Google Auth</t>
        </is>
      </c>
      <c r="E21" s="13" t="inlineStr">
        <is>
          <t>P1</t>
        </is>
      </c>
      <c r="F21" s="3" t="inlineStr">
        <is>
          <t>Có học viên Form và Google</t>
        </is>
      </c>
      <c r="G21" s="3" t="inlineStr">
        <is>
          <t>1. Bấm 'Tìm kiếm nâng cao'
2. 'Nguồn đăng ký' chọn 'Google Auth'</t>
        </is>
      </c>
      <c r="H21" s="3" t="inlineStr">
        <is>
          <t>Nguồn: Google Auth</t>
        </is>
      </c>
      <c r="I21" s="3" t="inlineStr">
        <is>
          <t>- Bảng chỉ còn học viên đăng ký qua Google (pill 'Google')</t>
        </is>
      </c>
      <c r="J21" s="3" t="inlineStr">
        <is>
          <t>—</t>
        </is>
      </c>
      <c r="K21" s="3" t="inlineStr"/>
      <c r="L21" s="3" t="inlineStr">
        <is>
          <t>Not Executed</t>
        </is>
      </c>
      <c r="M21" s="3" t="inlineStr">
        <is>
          <t>Not Executed</t>
        </is>
      </c>
      <c r="N21" s="3" t="inlineStr">
        <is>
          <t>Not Executed</t>
        </is>
      </c>
      <c r="O21" s="3" t="inlineStr"/>
    </row>
    <row r="22" ht="30" customHeight="1">
      <c r="A22" s="14" t="inlineStr">
        <is>
          <t>Học viên ngoài</t>
        </is>
      </c>
      <c r="B22" s="14" t="inlineStr">
        <is>
          <t>HIỂN THỊ &amp; LỌC</t>
        </is>
      </c>
      <c r="C22" s="14" t="inlineStr">
        <is>
          <t>TC_01.004</t>
        </is>
      </c>
      <c r="D22" s="14" t="inlineStr">
        <is>
          <t>Lọc Trạng thái = Đã khoá</t>
        </is>
      </c>
      <c r="E22" s="15" t="inlineStr">
        <is>
          <t>P1</t>
        </is>
      </c>
      <c r="F22" s="14" t="inlineStr">
        <is>
          <t>Có học viên Đang hoạt động và Đã khoá</t>
        </is>
      </c>
      <c r="G22" s="14" t="inlineStr">
        <is>
          <t>1. 'Trạng thái' chọn 'Đã khoá'</t>
        </is>
      </c>
      <c r="H22" s="14" t="inlineStr">
        <is>
          <t>Trạng thái: Đã khoá</t>
        </is>
      </c>
      <c r="I22" s="14" t="inlineStr">
        <is>
          <t>- Bảng chỉ còn học viên 'Đã khoá'</t>
        </is>
      </c>
      <c r="J22" s="14" t="inlineStr">
        <is>
          <t>—</t>
        </is>
      </c>
      <c r="K22" s="14" t="inlineStr"/>
      <c r="L22" s="14" t="inlineStr">
        <is>
          <t>Not Executed</t>
        </is>
      </c>
      <c r="M22" s="14" t="inlineStr">
        <is>
          <t>Not Executed</t>
        </is>
      </c>
      <c r="N22" s="14" t="inlineStr">
        <is>
          <t>Not Executed</t>
        </is>
      </c>
      <c r="O22" s="14" t="inlineStr"/>
    </row>
    <row r="23" ht="30" customHeight="1">
      <c r="A23" s="3" t="inlineStr">
        <is>
          <t>Học viên ngoài</t>
        </is>
      </c>
      <c r="B23" s="3" t="inlineStr">
        <is>
          <t>HIỂN THỊ &amp; LỌC</t>
        </is>
      </c>
      <c r="C23" s="3" t="inlineStr">
        <is>
          <t>TC_01.005</t>
        </is>
      </c>
      <c r="D23" s="3" t="inlineStr">
        <is>
          <t>Lọc khoảng ngày đăng ký</t>
        </is>
      </c>
      <c r="E23" s="13" t="inlineStr">
        <is>
          <t>P1</t>
        </is>
      </c>
      <c r="F23" s="3" t="inlineStr">
        <is>
          <t>Học viên đăng ký 01/06 và 20/06</t>
        </is>
      </c>
      <c r="G23" s="3" t="inlineStr">
        <is>
          <t>1. 'Ngày đăng ký từ' = 05/06
2. 'đến' = 25/06</t>
        </is>
      </c>
      <c r="H23" s="3" t="inlineStr">
        <is>
          <t>05/06 → 25/06</t>
        </is>
      </c>
      <c r="I23" s="3" t="inlineStr">
        <is>
          <t>- Bảng chỉ còn học viên đăng ký trong khoảng</t>
        </is>
      </c>
      <c r="J23" s="3" t="inlineStr">
        <is>
          <t>—</t>
        </is>
      </c>
      <c r="K23" s="3" t="inlineStr"/>
      <c r="L23" s="3" t="inlineStr">
        <is>
          <t>Not Executed</t>
        </is>
      </c>
      <c r="M23" s="3" t="inlineStr">
        <is>
          <t>Not Executed</t>
        </is>
      </c>
      <c r="N23" s="3" t="inlineStr">
        <is>
          <t>Not Executed</t>
        </is>
      </c>
      <c r="O23" s="3" t="inlineStr"/>
    </row>
    <row r="24" ht="30" customHeight="1">
      <c r="A24" s="14" t="inlineStr">
        <is>
          <t>Học viên ngoài</t>
        </is>
      </c>
      <c r="B24" s="14" t="inlineStr">
        <is>
          <t>HIỂN THỊ &amp; LỌC</t>
        </is>
      </c>
      <c r="C24" s="14" t="inlineStr">
        <is>
          <t>TC_01.006</t>
        </is>
      </c>
      <c r="D24" s="14" t="inlineStr">
        <is>
          <t>Danh sách rỗng</t>
        </is>
      </c>
      <c r="E24" s="15" t="inlineStr">
        <is>
          <t>P2</t>
        </is>
      </c>
      <c r="F24" s="14" t="inlineStr">
        <is>
          <t>Không có học viên khớp 'zzz'</t>
        </is>
      </c>
      <c r="G24" s="14" t="inlineStr">
        <is>
          <t>1. Gõ 'zzz'</t>
        </is>
      </c>
      <c r="H24" s="14" t="inlineStr">
        <is>
          <t>Từ khóa: zzz</t>
        </is>
      </c>
      <c r="I24" s="14" t="inlineStr">
        <is>
          <t>- Hiện 'Không có dữ liệu phù hợp bộ lọc.'</t>
        </is>
      </c>
      <c r="J24" s="14" t="inlineStr">
        <is>
          <t>—</t>
        </is>
      </c>
      <c r="K24" s="14" t="inlineStr"/>
      <c r="L24" s="14" t="inlineStr">
        <is>
          <t>Not Executed</t>
        </is>
      </c>
      <c r="M24" s="14" t="inlineStr">
        <is>
          <t>Not Executed</t>
        </is>
      </c>
      <c r="N24" s="14" t="inlineStr">
        <is>
          <t>Not Executed</t>
        </is>
      </c>
      <c r="O24" s="14" t="inlineStr"/>
    </row>
    <row r="25" ht="26" customHeight="1">
      <c r="A25" s="11" t="n"/>
      <c r="B25" s="11" t="n"/>
      <c r="C25" s="12" t="inlineStr">
        <is>
          <t>II. XEM NHANH HỒ SƠ</t>
        </is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5" t="n"/>
    </row>
    <row r="26" ht="46" customHeight="1">
      <c r="A26" s="3" t="inlineStr">
        <is>
          <t>Học viên ngoài</t>
        </is>
      </c>
      <c r="B26" s="3" t="inlineStr">
        <is>
          <t>XEM NHANH HỒ SƠ</t>
        </is>
      </c>
      <c r="C26" s="3" t="inlineStr">
        <is>
          <t>TC_02.001</t>
        </is>
      </c>
      <c r="D26" s="3" t="inlineStr">
        <is>
          <t>Xem nhanh + tóm tắt học tập</t>
        </is>
      </c>
      <c r="E26" s="13" t="inlineStr">
        <is>
          <t>P0</t>
        </is>
      </c>
      <c r="F26" s="3" t="inlineStr">
        <is>
          <t>Học viên có 5 ghi danh (2 hoàn thành, 1 đang học, 2 đã đăng ký)</t>
        </is>
      </c>
      <c r="G26" s="3" t="inlineStr">
        <is>
          <t>1. Bấm nút 'Xem nhanh' 1 dòng
2. Xem popup 'Xem thông tin học viên'</t>
        </is>
      </c>
      <c r="H26" s="3" t="inlineStr">
        <is>
          <t>—</t>
        </is>
      </c>
      <c r="I26" s="3" t="inlineStr">
        <is>
          <t>- Popup hiện: SĐT, Công ty, Chức vụ, Lĩnh vực quan tâm
- Mục 'Tóm tắt học tập': Đã đăng ký = 2, Đang học = 1, Hoàn thành = 2, Tổng cộng = 5</t>
        </is>
      </c>
      <c r="J26" s="3" t="inlineStr">
        <is>
          <t>—</t>
        </is>
      </c>
      <c r="K26" s="3" t="inlineStr"/>
      <c r="L26" s="3" t="inlineStr">
        <is>
          <t>Not Executed</t>
        </is>
      </c>
      <c r="M26" s="3" t="inlineStr">
        <is>
          <t>Not Executed</t>
        </is>
      </c>
      <c r="N26" s="3" t="inlineStr">
        <is>
          <t>Not Executed</t>
        </is>
      </c>
      <c r="O26" s="3" t="inlineStr"/>
    </row>
    <row r="27" ht="30" customHeight="1">
      <c r="A27" s="14" t="inlineStr">
        <is>
          <t>Học viên ngoài</t>
        </is>
      </c>
      <c r="B27" s="14" t="inlineStr">
        <is>
          <t>XEM NHANH HỒ SƠ</t>
        </is>
      </c>
      <c r="C27" s="14" t="inlineStr">
        <is>
          <t>TC_02.002</t>
        </is>
      </c>
      <c r="D27" s="14" t="inlineStr">
        <is>
          <t>Học viên chưa đăng ký khóa nào</t>
        </is>
      </c>
      <c r="E27" s="15" t="inlineStr">
        <is>
          <t>P1</t>
        </is>
      </c>
      <c r="F27" s="14" t="inlineStr">
        <is>
          <t>Học viên chưa ghi danh khóa nào</t>
        </is>
      </c>
      <c r="G27" s="14" t="inlineStr">
        <is>
          <t>1. Bấm 'Xem nhanh'</t>
        </is>
      </c>
      <c r="H27" s="14" t="inlineStr">
        <is>
          <t>—</t>
        </is>
      </c>
      <c r="I27" s="14" t="inlineStr">
        <is>
          <t>- Popup hiện 'Học viên chưa đăng ký khoá học nào.'</t>
        </is>
      </c>
      <c r="J27" s="14" t="inlineStr">
        <is>
          <t>—</t>
        </is>
      </c>
      <c r="K27" s="14" t="inlineStr"/>
      <c r="L27" s="14" t="inlineStr">
        <is>
          <t>Not Executed</t>
        </is>
      </c>
      <c r="M27" s="14" t="inlineStr">
        <is>
          <t>Not Executed</t>
        </is>
      </c>
      <c r="N27" s="14" t="inlineStr">
        <is>
          <t>Not Executed</t>
        </is>
      </c>
      <c r="O27" s="14" t="inlineStr"/>
    </row>
    <row r="28" ht="30" customHeight="1">
      <c r="A28" s="3" t="inlineStr">
        <is>
          <t>Học viên ngoài</t>
        </is>
      </c>
      <c r="B28" s="3" t="inlineStr">
        <is>
          <t>XEM NHANH HỒ SƠ</t>
        </is>
      </c>
      <c r="C28" s="3" t="inlineStr">
        <is>
          <t>TC_02.003</t>
        </is>
      </c>
      <c r="D28" s="3" t="inlineStr">
        <is>
          <t>Nút Xem báo cáo chi tiết vô hiệu</t>
        </is>
      </c>
      <c r="E28" s="13" t="inlineStr">
        <is>
          <t>P2</t>
        </is>
      </c>
      <c r="F28" s="3" t="inlineStr">
        <is>
          <t>Đang mở popup xem nhanh</t>
        </is>
      </c>
      <c r="G28" s="3" t="inlineStr">
        <is>
          <t>1. Quan sát nút 'Xem báo cáo chi tiết'</t>
        </is>
      </c>
      <c r="H28" s="3" t="inlineStr">
        <is>
          <t>—</t>
        </is>
      </c>
      <c r="I28" s="3" t="inlineStr">
        <is>
          <t>- Nút 'Xem báo cáo chi tiết' bị vô hiệu (disabled)</t>
        </is>
      </c>
      <c r="J28" s="3" t="inlineStr">
        <is>
          <t>—</t>
        </is>
      </c>
      <c r="K28" s="3" t="inlineStr"/>
      <c r="L28" s="3" t="inlineStr">
        <is>
          <t>Not Executed</t>
        </is>
      </c>
      <c r="M28" s="3" t="inlineStr">
        <is>
          <t>Not Executed</t>
        </is>
      </c>
      <c r="N28" s="3" t="inlineStr">
        <is>
          <t>Not Executed</t>
        </is>
      </c>
      <c r="O28" s="3" t="inlineStr"/>
    </row>
    <row r="29" ht="26" customHeight="1">
      <c r="A29" s="11" t="n"/>
      <c r="B29" s="11" t="n"/>
      <c r="C29" s="12" t="inlineStr">
        <is>
          <t>III. KHÓA / MỞ KHÓA TÀI KHOẢN</t>
        </is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5" t="n"/>
    </row>
    <row r="30" ht="38" customHeight="1">
      <c r="A30" s="14" t="inlineStr">
        <is>
          <t>Học viên ngoài</t>
        </is>
      </c>
      <c r="B30" s="14" t="inlineStr">
        <is>
          <t>KHÓA / MỞ KHÓA TÀI KHOẢN</t>
        </is>
      </c>
      <c r="C30" s="14" t="inlineStr">
        <is>
          <t>TC_03.001</t>
        </is>
      </c>
      <c r="D30" s="14" t="inlineStr">
        <is>
          <t>Khoá tài khoản đang hoạt động</t>
        </is>
      </c>
      <c r="E30" s="15" t="inlineStr">
        <is>
          <t>P0</t>
        </is>
      </c>
      <c r="F30" s="14" t="inlineStr">
        <is>
          <t>Học viên 'Đang hoạt động'</t>
        </is>
      </c>
      <c r="G30" s="14" t="inlineStr">
        <is>
          <t>1. Bấm nút khoá dòng đó
2. Popup 'Xác nhận khoá tài khoản': Bạn có chắc muốn khoá tài khoản "{Họ tên}"? → bấm 'Khoá'</t>
        </is>
      </c>
      <c r="H30" s="14" t="inlineStr">
        <is>
          <t>—</t>
        </is>
      </c>
      <c r="I30" s="14" t="inlineStr">
        <is>
          <t>- Toast 'Khoá tài khoản thành công'
- Trạng thái → 'Đã khoá'</t>
        </is>
      </c>
      <c r="J30" s="14" t="inlineStr">
        <is>
          <t>—</t>
        </is>
      </c>
      <c r="K30" s="14" t="inlineStr"/>
      <c r="L30" s="14" t="inlineStr">
        <is>
          <t>Not Executed</t>
        </is>
      </c>
      <c r="M30" s="14" t="inlineStr">
        <is>
          <t>Not Executed</t>
        </is>
      </c>
      <c r="N30" s="14" t="inlineStr">
        <is>
          <t>Not Executed</t>
        </is>
      </c>
      <c r="O30" s="14" t="inlineStr"/>
    </row>
    <row r="31" ht="36" customHeight="1">
      <c r="A31" s="3" t="inlineStr">
        <is>
          <t>Học viên ngoài</t>
        </is>
      </c>
      <c r="B31" s="3" t="inlineStr">
        <is>
          <t>KHÓA / MỞ KHÓA TÀI KHOẢN</t>
        </is>
      </c>
      <c r="C31" s="3" t="inlineStr">
        <is>
          <t>TC_03.002</t>
        </is>
      </c>
      <c r="D31" s="3" t="inlineStr">
        <is>
          <t>Mở khoá tài khoản đã khoá</t>
        </is>
      </c>
      <c r="E31" s="13" t="inlineStr">
        <is>
          <t>P1</t>
        </is>
      </c>
      <c r="F31" s="3" t="inlineStr">
        <is>
          <t>Học viên 'Đã khoá'</t>
        </is>
      </c>
      <c r="G31" s="3" t="inlineStr">
        <is>
          <t>1. Bấm nút mở khoá
2. Popup 'Xác nhận mở khoá': Bạn có chắc muốn mở khoá tài khoản "{Họ tên}"? → bấm 'Mở khoá'</t>
        </is>
      </c>
      <c r="H31" s="3" t="inlineStr">
        <is>
          <t>—</t>
        </is>
      </c>
      <c r="I31" s="3" t="inlineStr">
        <is>
          <t>- Toast 'Mở khoá tài khoản thành công'
- Trạng thái → 'Đang hoạt động'</t>
        </is>
      </c>
      <c r="J31" s="3" t="inlineStr">
        <is>
          <t>—</t>
        </is>
      </c>
      <c r="K31" s="3" t="inlineStr"/>
      <c r="L31" s="3" t="inlineStr">
        <is>
          <t>Not Executed</t>
        </is>
      </c>
      <c r="M31" s="3" t="inlineStr">
        <is>
          <t>Not Executed</t>
        </is>
      </c>
      <c r="N31" s="3" t="inlineStr">
        <is>
          <t>Not Executed</t>
        </is>
      </c>
      <c r="O31" s="3" t="inlineStr"/>
    </row>
    <row r="32" ht="30" customHeight="1">
      <c r="A32" s="14" t="inlineStr">
        <is>
          <t>Học viên ngoài</t>
        </is>
      </c>
      <c r="B32" s="14" t="inlineStr">
        <is>
          <t>KHÓA / MỞ KHÓA TÀI KHOẢN</t>
        </is>
      </c>
      <c r="C32" s="14" t="inlineStr">
        <is>
          <t>TC_03.003</t>
        </is>
      </c>
      <c r="D32" s="14" t="inlineStr">
        <is>
          <t>Hủy hộp thoại khoá</t>
        </is>
      </c>
      <c r="E32" s="15" t="inlineStr">
        <is>
          <t>P2</t>
        </is>
      </c>
      <c r="F32" s="14" t="inlineStr">
        <is>
          <t>Đang mở popup 'Xác nhận khoá tài khoản'</t>
        </is>
      </c>
      <c r="G32" s="14" t="inlineStr">
        <is>
          <t>1. Bấm 'Hủy'</t>
        </is>
      </c>
      <c r="H32" s="14" t="inlineStr">
        <is>
          <t>—</t>
        </is>
      </c>
      <c r="I32" s="14" t="inlineStr">
        <is>
          <t>- Popup đóng, trạng thái tài khoản không đổi</t>
        </is>
      </c>
      <c r="J32" s="14" t="inlineStr">
        <is>
          <t>—</t>
        </is>
      </c>
      <c r="K32" s="14" t="inlineStr"/>
      <c r="L32" s="14" t="inlineStr">
        <is>
          <t>Not Executed</t>
        </is>
      </c>
      <c r="M32" s="14" t="inlineStr">
        <is>
          <t>Not Executed</t>
        </is>
      </c>
      <c r="N32" s="14" t="inlineStr">
        <is>
          <t>Not Executed</t>
        </is>
      </c>
      <c r="O32" s="14" t="inlineStr"/>
    </row>
    <row r="33" ht="26" customHeight="1">
      <c r="A33" s="11" t="n"/>
      <c r="B33" s="11" t="n"/>
      <c r="C33" s="12" t="inlineStr">
        <is>
          <t>IV. XUẤT EXCEL</t>
        </is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5" t="n"/>
    </row>
    <row r="34" ht="30" customHeight="1">
      <c r="A34" s="3" t="inlineStr">
        <is>
          <t>Học viên ngoài</t>
        </is>
      </c>
      <c r="B34" s="3" t="inlineStr">
        <is>
          <t>XUẤT EXCEL</t>
        </is>
      </c>
      <c r="C34" s="3" t="inlineStr">
        <is>
          <t>TC_04.001</t>
        </is>
      </c>
      <c r="D34" s="3" t="inlineStr">
        <is>
          <t>Xuất Excel theo bộ lọc</t>
        </is>
      </c>
      <c r="E34" s="13" t="inlineStr">
        <is>
          <t>P1</t>
        </is>
      </c>
      <c r="F34" s="3" t="inlineStr">
        <is>
          <t>Đang lọc Nguồn = Form</t>
        </is>
      </c>
      <c r="G34" s="3" t="inlineStr">
        <is>
          <t>1. Bấm 'Xuất Excel'</t>
        </is>
      </c>
      <c r="H34" s="3" t="inlineStr">
        <is>
          <t>Nguồn: Form</t>
        </is>
      </c>
      <c r="I34" s="3" t="inlineStr">
        <is>
          <t>- Tải file danh-sach-hoc-vien-ngoai.xls đúng bộ lọc</t>
        </is>
      </c>
      <c r="J34" s="3" t="inlineStr">
        <is>
          <t>—</t>
        </is>
      </c>
      <c r="K34" s="3" t="inlineStr"/>
      <c r="L34" s="3" t="inlineStr">
        <is>
          <t>Not Executed</t>
        </is>
      </c>
      <c r="M34" s="3" t="inlineStr">
        <is>
          <t>Not Executed</t>
        </is>
      </c>
      <c r="N34" s="3" t="inlineStr">
        <is>
          <t>Not Executed</t>
        </is>
      </c>
      <c r="O34" s="3" t="inlineStr"/>
    </row>
    <row r="35" ht="30" customHeight="1">
      <c r="A35" s="14" t="inlineStr">
        <is>
          <t>Học viên ngoài</t>
        </is>
      </c>
      <c r="B35" s="14" t="inlineStr">
        <is>
          <t>XUẤT EXCEL</t>
        </is>
      </c>
      <c r="C35" s="14" t="inlineStr">
        <is>
          <t>TC_04.002</t>
        </is>
      </c>
      <c r="D35" s="14" t="inlineStr">
        <is>
          <t>Xuất Excel toàn bộ</t>
        </is>
      </c>
      <c r="E35" s="15" t="inlineStr">
        <is>
          <t>P2</t>
        </is>
      </c>
      <c r="F35" s="14" t="inlineStr">
        <is>
          <t>Không áp bộ lọc</t>
        </is>
      </c>
      <c r="G35" s="14" t="inlineStr">
        <is>
          <t>1. Bấm 'Xuất Excel'</t>
        </is>
      </c>
      <c r="H35" s="14" t="inlineStr">
        <is>
          <t>—</t>
        </is>
      </c>
      <c r="I35" s="14" t="inlineStr">
        <is>
          <t>- Tải file chứa toàn bộ học viên</t>
        </is>
      </c>
      <c r="J35" s="14" t="inlineStr">
        <is>
          <t>—</t>
        </is>
      </c>
      <c r="K35" s="14" t="inlineStr"/>
      <c r="L35" s="14" t="inlineStr">
        <is>
          <t>Not Executed</t>
        </is>
      </c>
      <c r="M35" s="14" t="inlineStr">
        <is>
          <t>Not Executed</t>
        </is>
      </c>
      <c r="N35" s="14" t="inlineStr">
        <is>
          <t>Not Executed</t>
        </is>
      </c>
      <c r="O35" s="14" t="inlineStr"/>
    </row>
    <row r="36" ht="26" customHeight="1">
      <c r="A36" s="11" t="n"/>
      <c r="B36" s="11" t="n"/>
      <c r="C36" s="12" t="inlineStr">
        <is>
          <t>V. LUỒNG XUYÊN SUỐT (E2E)</t>
        </is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5" t="n"/>
    </row>
    <row r="37" ht="30" customHeight="1">
      <c r="A37" s="3" t="inlineStr">
        <is>
          <t>Học viên ngoài</t>
        </is>
      </c>
      <c r="B37" s="3" t="inlineStr">
        <is>
          <t>LUỒNG XUYÊN SUỐT (E2E)</t>
        </is>
      </c>
      <c r="C37" s="3" t="inlineStr">
        <is>
          <t>TC_05.001</t>
        </is>
      </c>
      <c r="D37" s="3" t="inlineStr">
        <is>
          <t>Tìm → xem nhanh → khoá</t>
        </is>
      </c>
      <c r="E37" s="13" t="inlineStr">
        <is>
          <t>P0</t>
        </is>
      </c>
      <c r="F37" s="3" t="inlineStr">
        <is>
          <t>Học viên có ghi danh</t>
        </is>
      </c>
      <c r="G37" s="3" t="inlineStr">
        <is>
          <t>1. Tìm học viên theo tên
2. Bấm 'Xem nhanh' xem tóm tắt
3. Khoá tài khoản</t>
        </is>
      </c>
      <c r="H37" s="3" t="inlineStr">
        <is>
          <t>—</t>
        </is>
      </c>
      <c r="I37" s="3" t="inlineStr">
        <is>
          <t>- B2: tóm tắt hiển thị đúng số
- B3: toast 'Khoá tài khoản thành công', trạng thái 'Đã khoá'</t>
        </is>
      </c>
      <c r="J37" s="3" t="inlineStr">
        <is>
          <t>—</t>
        </is>
      </c>
      <c r="K37" s="3" t="inlineStr"/>
      <c r="L37" s="3" t="inlineStr">
        <is>
          <t>Not Executed</t>
        </is>
      </c>
      <c r="M37" s="3" t="inlineStr">
        <is>
          <t>Not Executed</t>
        </is>
      </c>
      <c r="N37" s="3" t="inlineStr">
        <is>
          <t>Not Executed</t>
        </is>
      </c>
      <c r="O37" s="3" t="inlineStr"/>
    </row>
  </sheetData>
  <mergeCells count="27">
    <mergeCell ref="C36:O36"/>
    <mergeCell ref="B4:O4"/>
    <mergeCell ref="B7:O7"/>
    <mergeCell ref="B3:O3"/>
    <mergeCell ref="I12:K12"/>
    <mergeCell ref="L11:O11"/>
    <mergeCell ref="I14:K14"/>
    <mergeCell ref="B2:O2"/>
    <mergeCell ref="C18:O18"/>
    <mergeCell ref="C33:O33"/>
    <mergeCell ref="B1:O1"/>
    <mergeCell ref="B8:O8"/>
    <mergeCell ref="L13:O13"/>
    <mergeCell ref="I13:K13"/>
    <mergeCell ref="B10:O10"/>
    <mergeCell ref="L12:O12"/>
    <mergeCell ref="B11:E11"/>
    <mergeCell ref="C29:O29"/>
    <mergeCell ref="L15:O15"/>
    <mergeCell ref="F11:H11"/>
    <mergeCell ref="I15:K15"/>
    <mergeCell ref="C25:O25"/>
    <mergeCell ref="B9:O9"/>
    <mergeCell ref="I11:K11"/>
    <mergeCell ref="L14:O14"/>
    <mergeCell ref="B6:O6"/>
    <mergeCell ref="B5:O5"/>
  </mergeCells>
  <dataValidations count="1">
    <dataValidation sqref="L18:N138" showDropDown="0" showInputMessage="0" showErrorMessage="0" allowBlank="1" type="list">
      <formula1>"Passed,Failed,Pending,Not Executed"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2026-07-13T04:52:28Z</dcterms:created>
  <dcterms:modified xmlns:dcterms="http://purl.org/dc/terms/" xmlns:xsi="http://www.w3.org/2001/XMLSchema-instance" xsi:type="dcterms:W3CDTF">2026-07-13T04:52:28Z</dcterms:modified>
</cp:coreProperties>
</file>