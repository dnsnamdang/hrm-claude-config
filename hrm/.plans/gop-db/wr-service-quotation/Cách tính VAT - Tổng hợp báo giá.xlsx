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ách tính" sheetId="1" state="visible" r:id="rId1"/>
    <sheet xmlns:r="http://schemas.openxmlformats.org/officeDocument/2006/relationships" name="2. Ví dụ có số" sheetId="2" state="visible" r:id="rId2"/>
    <sheet xmlns:r="http://schemas.openxmlformats.org/officeDocument/2006/relationships" name="3. Cách đối chiế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4"/>
    </font>
    <font>
      <name val="Times New Roman"/>
      <color rgb="00000000"/>
      <sz val="11"/>
    </font>
    <font>
      <name val="Times New Roman"/>
      <b val="1"/>
      <color rgb="00000000"/>
      <sz val="12"/>
    </font>
    <font>
      <name val="Times New Roman"/>
      <b val="1"/>
      <color rgb="00FFFFFF"/>
      <sz val="12"/>
    </font>
    <font>
      <name val="Times New Roman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1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3" fontId="3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42" customWidth="1" min="4" max="4"/>
  </cols>
  <sheetData>
    <row r="1" ht="24" customHeight="1">
      <c r="A1" s="1" t="inlineStr">
        <is>
          <t>Bảng “III - Tổng hợp báo giá” — dòng VAT được tính thế nào</t>
        </is>
      </c>
    </row>
    <row r="2">
      <c r="A2" s="2" t="inlineStr">
        <is>
          <t>Màn hình: Phiếu cung cấp thông tin làm báo giá  ·  Khối D, bảng III  ·  Cập nhật 03/09/2026</t>
        </is>
      </c>
    </row>
    <row r="4" ht="34" customHeight="1">
      <c r="A4" s="3" t="inlineStr">
        <is>
          <t>Ô VAT KHÔNG phải là một phép nhân duy nhất lên tổng tiền. Nó là TỔNG VAT CỦA 4 NHÓM, và mỗi nhóm lấy thuế suất ở một chỗ khác nhau:</t>
        </is>
      </c>
    </row>
    <row r="6" ht="32" customHeight="1">
      <c r="A6" s="4" t="inlineStr">
        <is>
          <t>Nhóm tiền</t>
        </is>
      </c>
      <c r="B6" s="4" t="inlineStr">
        <is>
          <t>Lấy % VAT ở đâu</t>
        </is>
      </c>
      <c r="C6" s="4" t="inlineStr">
        <is>
          <t>Nhân với số nào</t>
        </is>
      </c>
      <c r="D6" s="4" t="inlineStr">
        <is>
          <t>Điểm dễ hiểu nhầm</t>
        </is>
      </c>
    </row>
    <row r="7" ht="62" customHeight="1">
      <c r="A7" s="5" t="inlineStr">
        <is>
          <t>1. Bảo hành
(bảng I của khối D)</t>
        </is>
      </c>
      <c r="B7" s="5" t="inlineStr">
        <is>
          <t>% VAT khai ở ĐẦU PHIẾU — một mức duy nhất cho cả nhóm này.</t>
        </is>
      </c>
      <c r="C7" s="5" t="inlineStr">
        <is>
          <t>(Tổng thành tiền của các hạng mục bảo hành − Chi phí được bảo hành) + phần bảo hành của các dòng chi phí.</t>
        </is>
      </c>
      <c r="D7" s="5" t="inlineStr">
        <is>
          <t>Đổi ô VAT ở đầu phiếu chỉ làm đổi nhóm này, không ảnh hưởng nhóm Sửa chữa – Bảo dưỡng.</t>
        </is>
      </c>
    </row>
    <row r="8" ht="62" customHeight="1">
      <c r="A8" s="5" t="inlineStr">
        <is>
          <t>2. Sửa chữa – Bảo dưỡng
(bảng II của khối D)</t>
        </is>
      </c>
      <c r="B8" s="5" t="inlineStr">
        <is>
          <t>% VAT của TỪNG DÒNG: dòng công, dòng dịch vụ, dòng vật tư, dòng gói bảo dưỡng — mỗi dòng một mức riêng lấy từ danh mục lúc lập phiếu.</t>
        </is>
      </c>
      <c r="C8" s="5" t="inlineStr">
        <is>
          <t>Thành tiền của dòng SAU KHI trừ chiết khấu %.</t>
        </is>
      </c>
      <c r="D8" s="5" t="inlineStr">
        <is>
          <t>Hai dòng cùng một thiết bị vẫn có thể chịu hai mức VAT khác nhau.</t>
        </is>
      </c>
    </row>
    <row r="9" ht="62" customHeight="1">
      <c r="A9" s="5" t="inlineStr">
        <is>
          <t>3. Các khoản chi phí liên quan</t>
        </is>
      </c>
      <c r="B9" s="5" t="inlineStr">
        <is>
          <t>% VAT của từng dòng chi phí. ĐỂ TRỐNG thì hệ thống hiểu là 8%, KHÔNG phải 0%.</t>
        </is>
      </c>
      <c r="C9" s="5" t="inlineStr">
        <is>
          <t>Số tiền sửa chữa của dòng chi phí đó.</t>
        </is>
      </c>
      <c r="D9" s="5" t="inlineStr">
        <is>
          <t>Chi phí không có chiết khấu, nên số trước và sau chiết khấu bằng nhau.</t>
        </is>
      </c>
    </row>
    <row r="10" ht="62" customHeight="1">
      <c r="A10" s="5" t="inlineStr">
        <is>
          <t>4. Chi phí vận chuyển thiết bị vật tư</t>
        </is>
      </c>
      <c r="B10" s="5" t="inlineStr">
        <is>
          <t>Như nhóm 3 — để trống cũng là 8%.</t>
        </is>
      </c>
      <c r="C10" s="5" t="inlineStr">
        <is>
          <t>Số tiền sửa chữa của dòng vận chuyển.</t>
        </is>
      </c>
      <c r="D10" s="5" t="inlineStr">
        <is>
          <t>Tách riêng khỏi nhóm 3 trên giao diện nhưng cộng chung vào cùng một ô VAT.</t>
        </is>
      </c>
    </row>
    <row r="12">
      <c r="A12" s="6" t="inlineStr">
        <is>
          <t>Ba dòng cuối của bảng III khớp nhau như sau:</t>
        </is>
      </c>
    </row>
    <row r="13" ht="22" customHeight="1">
      <c r="A13" s="7" t="inlineStr">
        <is>
          <t>Thành tiền (cột Phải thanh toán)</t>
        </is>
      </c>
      <c r="B13" s="5" t="inlineStr">
        <is>
          <t>Tổng tiền phải trả TRƯỚC thuế của cả 4 nhóm.</t>
        </is>
      </c>
    </row>
    <row r="14" ht="22" customHeight="1">
      <c r="A14" s="7" t="inlineStr">
        <is>
          <t>VAT</t>
        </is>
      </c>
      <c r="B14" s="5" t="inlineStr">
        <is>
          <t>Tổng VAT của 4 nhóm ở bảng trên.</t>
        </is>
      </c>
    </row>
    <row r="15" ht="22" customHeight="1">
      <c r="A15" s="7" t="inlineStr">
        <is>
          <t>Tổng thanh toán</t>
        </is>
      </c>
      <c r="B15" s="5" t="inlineStr">
        <is>
          <t>Thành tiền + VAT.</t>
        </is>
      </c>
    </row>
    <row r="17" ht="46" customHeight="1">
      <c r="A17" s="8" t="inlineStr">
        <is>
          <t>Lưu ý khi kiểm thử: số ở bảng III được TÍNH LẠI ngay trên trình duyệt từ các dòng chi tiết mỗi lần mở phiếu, không đọc từ số tiền đã lưu. Sửa đơn giá, số lượng, % chiết khấu hay % VAT của bất kỳ dòng nào thì bảng tổng đổi theo ngay, chưa cần bấm Lưu.</t>
        </is>
      </c>
    </row>
  </sheetData>
  <mergeCells count="8">
    <mergeCell ref="A1:D1"/>
    <mergeCell ref="A17:D17"/>
    <mergeCell ref="B14:D14"/>
    <mergeCell ref="A12:D12"/>
    <mergeCell ref="A4:D4"/>
    <mergeCell ref="B13:D13"/>
    <mergeCell ref="A2:D2"/>
    <mergeCell ref="B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 ht="24" customHeight="1">
      <c r="A1" s="1" t="inlineStr">
        <is>
          <t>Ví dụ minh hoạ — ô nền xanh là số tự nhập, các ô còn lại tự tính</t>
        </is>
      </c>
    </row>
    <row r="2">
      <c r="A2" s="2" t="inlineStr">
        <is>
          <t>Tester đổi số ở cột nền xanh để đối chiếu với phiếu thật.</t>
        </is>
      </c>
    </row>
    <row r="4">
      <c r="A4" s="7" t="inlineStr">
        <is>
          <t>% VAT khai ở đầu phiếu</t>
        </is>
      </c>
      <c r="B4" s="9" t="n">
        <v>10</v>
      </c>
    </row>
    <row r="6" ht="32" customHeight="1">
      <c r="A6" s="4" t="inlineStr">
        <is>
          <t>Nhóm / dòng</t>
        </is>
      </c>
      <c r="B6" s="4" t="inlineStr">
        <is>
          <t>Thành tiền</t>
        </is>
      </c>
      <c r="C6" s="4" t="inlineStr">
        <is>
          <t>Chiết khấu (%)</t>
        </is>
      </c>
      <c r="D6" s="4" t="inlineStr">
        <is>
          <t>Sau chiết khấu</t>
        </is>
      </c>
      <c r="E6" s="4" t="inlineStr">
        <is>
          <t>% VAT áp dụng</t>
        </is>
      </c>
      <c r="F6" s="4" t="inlineStr">
        <is>
          <t>Tiền VAT</t>
        </is>
      </c>
    </row>
    <row r="7" ht="20" customHeight="1">
      <c r="A7" s="7" t="inlineStr">
        <is>
          <t>1. Bảo hành — hạng mục A</t>
        </is>
      </c>
      <c r="B7" s="10" t="n">
        <v>5000000</v>
      </c>
      <c r="C7" s="11" t="inlineStr">
        <is>
          <t>Chi phí được bảo hành:</t>
        </is>
      </c>
      <c r="D7" s="10" t="n">
        <v>5000000</v>
      </c>
      <c r="E7" s="12">
        <f>$B$4</f>
        <v/>
      </c>
      <c r="F7" s="13">
        <f>(B7-D7)*E7/100</f>
        <v/>
      </c>
    </row>
    <row r="8" ht="20" customHeight="1">
      <c r="A8" s="7" t="inlineStr">
        <is>
          <t>2. Sửa chữa – dòng công</t>
        </is>
      </c>
      <c r="B8" s="10" t="n">
        <v>2000000</v>
      </c>
      <c r="C8" s="9" t="n">
        <v>10</v>
      </c>
      <c r="D8" s="13">
        <f>B8-B8*C8/100</f>
        <v/>
      </c>
      <c r="E8" s="9" t="n">
        <v>8</v>
      </c>
      <c r="F8" s="13">
        <f>D8*E8/100</f>
        <v/>
      </c>
    </row>
    <row r="9" ht="20" customHeight="1">
      <c r="A9" s="7" t="inlineStr">
        <is>
          <t>2. Sửa chữa – dòng vật tư</t>
        </is>
      </c>
      <c r="B9" s="10" t="n">
        <v>3000000</v>
      </c>
      <c r="C9" s="9" t="n">
        <v>0</v>
      </c>
      <c r="D9" s="13">
        <f>B9-B9*C9/100</f>
        <v/>
      </c>
      <c r="E9" s="9" t="n">
        <v>10</v>
      </c>
      <c r="F9" s="13">
        <f>D9*E9/100</f>
        <v/>
      </c>
    </row>
    <row r="10" ht="20" customHeight="1">
      <c r="A10" s="7" t="inlineStr">
        <is>
          <t>3. Chi phí liên quan — để TRỐNG ô VAT</t>
        </is>
      </c>
      <c r="B10" s="10" t="n">
        <v>1000000</v>
      </c>
      <c r="C10" s="11" t="inlineStr">
        <is>
          <t>không có chiết khấu</t>
        </is>
      </c>
      <c r="D10" s="13">
        <f>B10</f>
        <v/>
      </c>
      <c r="E10" s="12" t="n">
        <v>8</v>
      </c>
      <c r="F10" s="13">
        <f>D10*E10/100</f>
        <v/>
      </c>
    </row>
    <row r="11" ht="20" customHeight="1">
      <c r="A11" s="7" t="inlineStr">
        <is>
          <t>4. Chi phí vận chuyển</t>
        </is>
      </c>
      <c r="B11" s="10" t="n">
        <v>500000</v>
      </c>
      <c r="C11" s="11" t="inlineStr">
        <is>
          <t>không có chiết khấu</t>
        </is>
      </c>
      <c r="D11" s="13">
        <f>B11</f>
        <v/>
      </c>
      <c r="E11" s="9" t="n">
        <v>8</v>
      </c>
      <c r="F11" s="13">
        <f>D11*E11/100</f>
        <v/>
      </c>
    </row>
    <row r="13">
      <c r="A13" s="14" t="inlineStr">
        <is>
          <t>Thành tiền (trước thuế)</t>
        </is>
      </c>
      <c r="B13" s="15" t="inlineStr"/>
      <c r="C13" s="15" t="inlineStr"/>
      <c r="D13" s="16">
        <f>SUM(D8:D11)+(B7-D7)</f>
        <v/>
      </c>
      <c r="E13" s="15" t="inlineStr"/>
      <c r="F13" s="15" t="inlineStr"/>
    </row>
    <row r="14">
      <c r="A14" s="14" t="inlineStr">
        <is>
          <t>VAT (dòng VAT của bảng III)</t>
        </is>
      </c>
      <c r="B14" s="15" t="inlineStr"/>
      <c r="C14" s="15" t="inlineStr"/>
      <c r="D14" s="15" t="inlineStr"/>
      <c r="E14" s="15" t="inlineStr"/>
      <c r="F14" s="16">
        <f>SUM(F7:F11)</f>
        <v/>
      </c>
    </row>
    <row r="15">
      <c r="A15" s="14" t="inlineStr">
        <is>
          <t>Tổng thanh toán</t>
        </is>
      </c>
      <c r="B15" s="15" t="inlineStr"/>
      <c r="C15" s="15" t="inlineStr"/>
      <c r="D15" s="15" t="inlineStr"/>
      <c r="E15" s="15" t="inlineStr"/>
      <c r="F15" s="16">
        <f>D13+F14</f>
        <v/>
      </c>
    </row>
    <row r="17" ht="46" customHeight="1">
      <c r="A17" s="8" t="inlineStr">
        <is>
          <t>Dòng 1 (Bảo hành): chiết khấu KHÔNG nhập theo %, mà là số tiền gõ ở cột “Chi phí được bảo hành”. Ví dụ trên để bằng đúng thành tiền nên phần bảo hành còn 0 đồng và VAT của nhóm này cũng bằng 0 — đúng thực tế các phiếu đang chạy.</t>
        </is>
      </c>
    </row>
    <row r="19" ht="32" customHeight="1">
      <c r="A19" s="8" t="inlineStr">
        <is>
          <t>Dòng 3 để trống ô VAT nhưng vẫn tính 8% — đây là điểm khác biệt hay bị báo là lỗi. Hành vi này bê nguyên từ phần mềm ERP.</t>
        </is>
      </c>
    </row>
  </sheetData>
  <mergeCells count="5">
    <mergeCell ref="A2:F2"/>
    <mergeCell ref="A19:F19"/>
    <mergeCell ref="A1:F1"/>
    <mergeCell ref="A17:F17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56" customWidth="1" min="3" max="3"/>
  </cols>
  <sheetData>
    <row r="1" ht="24" customHeight="1">
      <c r="A1" s="1" t="inlineStr">
        <is>
          <t>Cách tự đối chiếu một phiếu thật</t>
        </is>
      </c>
    </row>
    <row r="3" ht="32" customHeight="1">
      <c r="A3" s="4" t="inlineStr">
        <is>
          <t>Bước</t>
        </is>
      </c>
      <c r="B3" s="4" t="inlineStr">
        <is>
          <t>Làm gì</t>
        </is>
      </c>
      <c r="C3" s="4" t="inlineStr">
        <is>
          <t>Kết quả mong đợi</t>
        </is>
      </c>
    </row>
    <row r="4" ht="46" customHeight="1">
      <c r="A4" s="17" t="inlineStr">
        <is>
          <t>1</t>
        </is>
      </c>
      <c r="B4" s="5" t="inlineStr">
        <is>
          <t>Mở phiếu, ghi lại % VAT khai ở đầu phiếu.</t>
        </is>
      </c>
      <c r="C4" s="5" t="inlineStr">
        <is>
          <t>Đây là mức áp cho riêng nhóm Bảo hành.</t>
        </is>
      </c>
    </row>
    <row r="5" ht="46" customHeight="1">
      <c r="A5" s="17" t="inlineStr">
        <is>
          <t>2</t>
        </is>
      </c>
      <c r="B5" s="5" t="inlineStr">
        <is>
          <t>Ở bảng II (Sửa chữa – Bảo dưỡng), cộng cột “Phải thanh toán” của từng dòng rồi nhân với % VAT của chính dòng đó.</t>
        </is>
      </c>
      <c r="C5" s="5" t="inlineStr">
        <is>
          <t>Ra phần VAT của nhóm 2. Lưu ý mỗi dòng một mức VAT riêng.</t>
        </is>
      </c>
    </row>
    <row r="6" ht="46" customHeight="1">
      <c r="A6" s="17" t="inlineStr">
        <is>
          <t>3</t>
        </is>
      </c>
      <c r="B6" s="5" t="inlineStr">
        <is>
          <t>Ở hai bảng chi phí, lấy số tiền sửa chữa nhân 8% (hoặc % ghi trên dòng nếu có).</t>
        </is>
      </c>
      <c r="C6" s="5" t="inlineStr">
        <is>
          <t>Ra phần VAT của nhóm 3 và 4.</t>
        </is>
      </c>
    </row>
    <row r="7" ht="46" customHeight="1">
      <c r="A7" s="17" t="inlineStr">
        <is>
          <t>4</t>
        </is>
      </c>
      <c r="B7" s="5" t="inlineStr">
        <is>
          <t>Ở bảng I (Bảo hành), lấy (Thành tiền − Chi phí được bảo hành) nhân % VAT của phiếu.</t>
        </is>
      </c>
      <c r="C7" s="5" t="inlineStr">
        <is>
          <t>Ra phần VAT của nhóm 1; thường bằng 0 vì hai số này bằng nhau.</t>
        </is>
      </c>
    </row>
    <row r="8" ht="46" customHeight="1">
      <c r="A8" s="17" t="inlineStr">
        <is>
          <t>5</t>
        </is>
      </c>
      <c r="B8" s="5" t="inlineStr">
        <is>
          <t>Cộng bốn phần vừa tính.</t>
        </is>
      </c>
      <c r="C8" s="5" t="inlineStr">
        <is>
          <t>Phải bằng đúng ô VAT ở bảng III. Lệch thì chụp màn hình cả 3 bảng gửi lại để soi dòng nào.</t>
        </is>
      </c>
    </row>
    <row r="10" ht="46" customHeight="1">
      <c r="A10" s="8" t="inlineStr">
        <is>
          <t>Ba chỗ hay làm lệch số khi đối chiếu tay: (1) lấy nhầm % VAT của phiếu áp cho nhóm Sửa chữa; (2) coi ô VAT để trống của dòng chi phí là 0% thay vì 8%; (3) nhân VAT lên số TRƯỚC chiết khấu thay vì sau chiết khấu.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2026-09-03T07:41:49Z</dcterms:created>
  <dcterms:modified xmlns:dcterms="http://purl.org/dc/terms/" xmlns:xsi="http://www.w3.org/2001/XMLSchema-instance" xsi:type="dcterms:W3CDTF">2026-09-03T07:41:49Z</dcterms:modified>
</cp:coreProperties>
</file>