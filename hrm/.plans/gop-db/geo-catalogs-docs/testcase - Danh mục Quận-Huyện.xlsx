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rang tính1" sheetId="1" state="visible" r:id="rId1"/>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Times New Roman"/>
      <b val="1"/>
      <sz val="12"/>
    </font>
    <font>
      <name val="Times New Roman"/>
      <sz val="12"/>
    </font>
    <font>
      <name val="Times New Roman"/>
      <b val="1"/>
      <color rgb="FFFFFFFF"/>
      <sz val="15"/>
    </font>
    <font>
      <name val="Times New Roman"/>
      <b val="1"/>
      <color rgb="FFFFFFFF"/>
      <sz val="12"/>
    </font>
    <font>
      <name val="Times New Roman"/>
      <b val="1"/>
      <color rgb="FF1F4E79"/>
      <sz val="12"/>
    </font>
  </fonts>
  <fills count="7">
    <fill>
      <patternFill/>
    </fill>
    <fill>
      <patternFill patternType="gray125"/>
    </fill>
    <fill>
      <patternFill patternType="solid">
        <fgColor rgb="00FFF2CC"/>
      </patternFill>
    </fill>
    <fill>
      <patternFill patternType="solid">
        <fgColor rgb="004472C4"/>
      </patternFill>
    </fill>
    <fill>
      <patternFill patternType="solid">
        <fgColor rgb="0000FF00"/>
      </patternFill>
    </fill>
    <fill>
      <patternFill patternType="solid">
        <fgColor rgb="00FFFFFF"/>
      </patternFill>
    </fill>
    <fill>
      <patternFill patternType="solid">
        <fgColor rgb="00D6E4F0"/>
      </patternFill>
    </fill>
  </fills>
  <borders count="6">
    <border>
      <left/>
      <right/>
      <top/>
      <bottom/>
      <diagonal/>
    </border>
    <border>
      <left style="thin">
        <color rgb="00BFBFBF"/>
      </left>
      <right style="thin">
        <color rgb="00BFBFBF"/>
      </right>
      <top style="thin">
        <color rgb="00BFBFBF"/>
      </top>
      <bottom style="thin">
        <color rgb="00BFBFBF"/>
      </bottom>
    </border>
    <border>
      <left/>
      <right/>
      <top style="thin">
        <color rgb="00BFBFBF"/>
      </top>
      <bottom/>
      <diagonal/>
    </border>
    <border>
      <left/>
      <right style="thin">
        <color rgb="00BFBFBF"/>
      </right>
      <top style="thin">
        <color rgb="00BFBFBF"/>
      </top>
      <bottom/>
      <diagonal/>
    </border>
    <border>
      <left/>
      <right/>
      <top style="thin">
        <color rgb="00BFBFBF"/>
      </top>
      <bottom style="thin">
        <color rgb="00BFBFBF"/>
      </bottom>
      <diagonal/>
    </border>
    <border>
      <left/>
      <right style="thin">
        <color rgb="00BFBFBF"/>
      </right>
      <top style="thin">
        <color rgb="00BFBFBF"/>
      </top>
      <bottom style="thin">
        <color rgb="00BFBFBF"/>
      </bottom>
      <diagonal/>
    </border>
  </borders>
  <cellStyleXfs count="1">
    <xf numFmtId="0" fontId="0" fillId="0" borderId="0"/>
  </cellStyleXfs>
  <cellXfs count="17">
    <xf numFmtId="0" fontId="0" fillId="0" borderId="0" pivotButton="0" quotePrefix="0" xfId="0"/>
    <xf numFmtId="0" fontId="1" fillId="0" borderId="0" applyAlignment="1" pivotButton="0" quotePrefix="0" xfId="0">
      <alignment horizontal="left" vertical="center" wrapText="1"/>
    </xf>
    <xf numFmtId="0" fontId="1" fillId="2" borderId="1" applyAlignment="1" pivotButton="0" quotePrefix="0" xfId="0">
      <alignment horizontal="left" vertical="center" wrapText="1"/>
    </xf>
    <xf numFmtId="0" fontId="2" fillId="0" borderId="1" applyAlignment="1" pivotButton="0" quotePrefix="0" xfId="0">
      <alignment horizontal="left" vertical="center" wrapText="1"/>
    </xf>
    <xf numFmtId="0" fontId="0" fillId="0" borderId="4" pivotButton="0" quotePrefix="0" xfId="0"/>
    <xf numFmtId="0" fontId="0" fillId="0" borderId="5" pivotButton="0" quotePrefix="0" xfId="0"/>
    <xf numFmtId="0" fontId="3" fillId="3" borderId="0" applyAlignment="1" pivotButton="0" quotePrefix="0" xfId="0">
      <alignment horizontal="left" vertical="center" wrapText="1"/>
    </xf>
    <xf numFmtId="0" fontId="3" fillId="3" borderId="0" applyAlignment="1" pivotButton="0" quotePrefix="0" xfId="0">
      <alignment horizontal="center" vertical="center" wrapText="1"/>
    </xf>
    <xf numFmtId="0" fontId="2" fillId="4" borderId="0" applyAlignment="1" pivotButton="0" quotePrefix="0" xfId="0">
      <alignment horizontal="left" vertical="center" wrapText="1"/>
    </xf>
    <xf numFmtId="0" fontId="1" fillId="4" borderId="1" applyAlignment="1" pivotButton="0" quotePrefix="0" xfId="0">
      <alignment horizontal="center" vertical="center" wrapText="1"/>
    </xf>
    <xf numFmtId="0" fontId="2" fillId="5" borderId="0" applyAlignment="1" pivotButton="0" quotePrefix="0" xfId="0">
      <alignment horizontal="left" vertical="center" wrapText="1"/>
    </xf>
    <xf numFmtId="0" fontId="1" fillId="5" borderId="1" applyAlignment="1" pivotButton="0" quotePrefix="0" xfId="0">
      <alignment horizontal="center" vertical="center" wrapText="1"/>
    </xf>
    <xf numFmtId="0" fontId="4" fillId="3" borderId="1" applyAlignment="1" pivotButton="0" quotePrefix="0" xfId="0">
      <alignment horizontal="center" vertical="center" wrapText="1"/>
    </xf>
    <xf numFmtId="0" fontId="2" fillId="6" borderId="1" applyAlignment="1" pivotButton="0" quotePrefix="0" xfId="0">
      <alignment horizontal="left" vertical="center" wrapText="1"/>
    </xf>
    <xf numFmtId="0" fontId="5" fillId="6" borderId="1" applyAlignment="1" pivotButton="0" quotePrefix="0" xfId="0">
      <alignment horizontal="left" vertical="center" wrapText="1"/>
    </xf>
    <xf numFmtId="0" fontId="2" fillId="5" borderId="1" applyAlignment="1" pivotButton="0" quotePrefix="0" xfId="0">
      <alignment horizontal="left" vertical="center" wrapText="1"/>
    </xf>
    <xf numFmtId="0" fontId="2" fillId="5"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69"/>
  <sheetViews>
    <sheetView workbookViewId="0">
      <selection activeCell="A1" sqref="A1"/>
    </sheetView>
  </sheetViews>
  <sheetFormatPr baseColWidth="8" defaultRowHeight="15"/>
  <cols>
    <col width="26.9" customWidth="1" min="1" max="1"/>
    <col width="27.1" customWidth="1" min="2" max="2"/>
    <col width="16" customWidth="1" min="3" max="3"/>
    <col width="26.6" customWidth="1" min="4" max="4"/>
    <col width="9" customWidth="1" min="5" max="5"/>
    <col width="22.8" customWidth="1" min="6" max="6"/>
    <col width="18.6" customWidth="1" min="7" max="7"/>
    <col width="22" customWidth="1" min="8" max="8"/>
    <col width="43.9" customWidth="1" min="9" max="9"/>
    <col width="41.6" customWidth="1" min="10" max="10"/>
    <col width="14" customWidth="1" min="11" max="11"/>
    <col width="14" customWidth="1" min="12" max="12"/>
    <col width="14" customWidth="1" min="13" max="13"/>
    <col width="20" customWidth="1" min="14" max="14"/>
    <col width="11" customWidth="1" min="15" max="15"/>
    <col width="11" customWidth="1" min="16" max="16"/>
    <col width="11" customWidth="1" min="17" max="17"/>
  </cols>
  <sheetData>
    <row r="1" ht="22" customHeight="1">
      <c r="A1" s="1" t="inlineStr">
        <is>
          <t>MÔ TẢ TÍNH NĂNG (đọc trước khi xem testcase)</t>
        </is>
      </c>
    </row>
    <row r="2" ht="45" customHeight="1">
      <c r="A2" s="2" t="inlineStr">
        <is>
          <t>1. Mục đích tính năng</t>
        </is>
      </c>
      <c r="B2" s="3" t="inlineStr">
        <is>
          <t>Quản lý danh mục quận/huyện dùng chung cho toàn hệ thống. Màn hình cho phép tra cứu, tìm kiếm, thêm mới, chỉnh sửa, xóa và xem lịch sử thay đổi. Dữ liệu của màn này là nguồn cho ô địa chỉ ở mọi màn nghiệp vụ khác.</t>
        </is>
      </c>
      <c r="C2" s="4" t="n"/>
      <c r="D2" s="4" t="n"/>
      <c r="E2" s="4" t="n"/>
      <c r="F2" s="4" t="n"/>
      <c r="G2" s="4" t="n"/>
      <c r="H2" s="4" t="n"/>
      <c r="I2" s="4" t="n"/>
      <c r="J2" s="4" t="n"/>
      <c r="K2" s="4" t="n"/>
      <c r="L2" s="4" t="n"/>
      <c r="M2" s="4" t="n"/>
      <c r="N2" s="5" t="n"/>
    </row>
    <row r="3" ht="49" customHeight="1">
      <c r="A3" s="2" t="inlineStr">
        <is>
          <t>2. Đối tượng được tính / hiển thị</t>
        </is>
      </c>
      <c r="B3" s="3" t="inlineStr">
        <is>
          <t>- Chỉ quận/huyện còn hiệu lực. Màn hình này KHÔNG có cột Trạng thái.
- Phép lọc bản ghi còn hiệu lực nằm ở phía máy chủ, người dùng không đổi được.</t>
        </is>
      </c>
      <c r="C3" s="4" t="n"/>
      <c r="D3" s="4" t="n"/>
      <c r="E3" s="4" t="n"/>
      <c r="F3" s="4" t="n"/>
      <c r="G3" s="4" t="n"/>
      <c r="H3" s="4" t="n"/>
      <c r="I3" s="4" t="n"/>
      <c r="J3" s="4" t="n"/>
      <c r="K3" s="4" t="n"/>
      <c r="L3" s="4" t="n"/>
      <c r="M3" s="4" t="n"/>
      <c r="N3" s="5" t="n"/>
    </row>
    <row r="4" ht="49" customHeight="1">
      <c r="A4" s="2" t="inlineStr">
        <is>
          <t>3. Đối tượng bị ẩn / không tính</t>
        </is>
      </c>
      <c r="B4" s="3" t="inlineStr">
        <is>
          <t>- Bản ghi đã bị Xóa không còn xuất hiện. Trên màn này, xóa được xử lý thành ngừng sử dụng: bản ghi biến mất khỏi danh sách nhưng dữ liệu không mất hẳn.
- Không có bản ghi nào bị ẩn vì lý do phân quyền, do màn hình chưa gắn quyền.</t>
        </is>
      </c>
      <c r="C4" s="4" t="n"/>
      <c r="D4" s="4" t="n"/>
      <c r="E4" s="4" t="n"/>
      <c r="F4" s="4" t="n"/>
      <c r="G4" s="4" t="n"/>
      <c r="H4" s="4" t="n"/>
      <c r="I4" s="4" t="n"/>
      <c r="J4" s="4" t="n"/>
      <c r="K4" s="4" t="n"/>
      <c r="L4" s="4" t="n"/>
      <c r="M4" s="4" t="n"/>
      <c r="N4" s="5" t="n"/>
    </row>
    <row r="5" ht="45" customHeight="1">
      <c r="A5" s="2" t="inlineStr">
        <is>
          <t>4. Bộ lọc thời gian áp dụng cho</t>
        </is>
      </c>
      <c r="B5" s="3" t="inlineStr">
        <is>
          <t>Màn hình KHÔNG có bộ lọc khoảng thời gian. Yếu tố thời gian chỉ xuất hiện ở cột Ngày tạo (sắp xếp được), cột Ngày cập nhật (mặc định ẩn) và cửa sổ Lịch sử thay đổi. Cần lọc theo thời gian thì ghi nhận là yêu cầu mở rộng, không báo lỗi.</t>
        </is>
      </c>
      <c r="C5" s="4" t="n"/>
      <c r="D5" s="4" t="n"/>
      <c r="E5" s="4" t="n"/>
      <c r="F5" s="4" t="n"/>
      <c r="G5" s="4" t="n"/>
      <c r="H5" s="4" t="n"/>
      <c r="I5" s="4" t="n"/>
      <c r="J5" s="4" t="n"/>
      <c r="K5" s="4" t="n"/>
      <c r="L5" s="4" t="n"/>
      <c r="M5" s="4" t="n"/>
      <c r="N5" s="5" t="n"/>
    </row>
    <row r="6" ht="66" customHeight="1">
      <c r="A6" s="2" t="inlineStr">
        <is>
          <t>5. Cấu trúc dữ liệu / cây phân cấp</t>
        </is>
      </c>
      <c r="B6" s="3" t="inlineStr">
        <is>
          <t>- Quốc gia là gốc của cây địa chỉ: Quốc gia → Khu vực → Tỉnh/TP → Quận/Huyện → Phường/Xã → Đường/Phố.
- Màn này quản lý cấp quận/huyện.
- Mỗi quận/huyện bắt buộc trực thuộc Tỉnh/TP.</t>
        </is>
      </c>
      <c r="C6" s="4" t="n"/>
      <c r="D6" s="4" t="n"/>
      <c r="E6" s="4" t="n"/>
      <c r="F6" s="4" t="n"/>
      <c r="G6" s="4" t="n"/>
      <c r="H6" s="4" t="n"/>
      <c r="I6" s="4" t="n"/>
      <c r="J6" s="4" t="n"/>
      <c r="K6" s="4" t="n"/>
      <c r="L6" s="4" t="n"/>
      <c r="M6" s="4" t="n"/>
      <c r="N6" s="5" t="n"/>
    </row>
    <row r="7" ht="66" customHeight="1">
      <c r="A7" s="2" t="inlineStr">
        <is>
          <t>6. Quy tắc cộng dồn / deduplicate</t>
        </is>
      </c>
      <c r="B7" s="3" t="inlineStr">
        <is>
          <t>- Mỗi quận/huyện chỉ hiện MỘT dòng.
- Tên quận/huyện là duy nhất trong cùng một Tỉnh/TP — trùng sẽ bị chặn khi lưu.
- Khi sửa, bản ghi đang sửa được loại khỏi phép kiểm tra trùng: giữ nguyên tên của chính nó thì lưu bình thường.</t>
        </is>
      </c>
      <c r="C7" s="4" t="n"/>
      <c r="D7" s="4" t="n"/>
      <c r="E7" s="4" t="n"/>
      <c r="F7" s="4" t="n"/>
      <c r="G7" s="4" t="n"/>
      <c r="H7" s="4" t="n"/>
      <c r="I7" s="4" t="n"/>
      <c r="J7" s="4" t="n"/>
      <c r="K7" s="4" t="n"/>
      <c r="L7" s="4" t="n"/>
      <c r="M7" s="4" t="n"/>
      <c r="N7" s="5" t="n"/>
    </row>
    <row r="8" ht="49" customHeight="1">
      <c r="A8" s="2" t="inlineStr">
        <is>
          <t>7. Phân quyền cấp</t>
        </is>
      </c>
      <c r="B8" s="3" t="inlineStr">
        <is>
          <t>Màn hình này KHÔNG khai báo quyền nào. Mọi người dùng đã đăng nhập đều mở được màn hình và thực hiện được đầy đủ Thêm mới, Chỉnh sửa, Xóa.
Phía máy chủ cũng không kiểm tra quyền, nên gọi thẳng chức năng mà bỏ qua giao diện vẫn ghi được dữ liệu. Đây là hiện trạng của mã nguồn, đã được ghi nhận để bộ phận quản trị cân nhắc bổ sung quyền.</t>
        </is>
      </c>
      <c r="C8" s="4" t="n"/>
      <c r="D8" s="4" t="n"/>
      <c r="E8" s="4" t="n"/>
      <c r="F8" s="4" t="n"/>
      <c r="G8" s="4" t="n"/>
      <c r="H8" s="4" t="n"/>
      <c r="I8" s="4" t="n"/>
      <c r="J8" s="4" t="n"/>
      <c r="K8" s="4" t="n"/>
      <c r="L8" s="4" t="n"/>
      <c r="M8" s="4" t="n"/>
      <c r="N8" s="5" t="n"/>
    </row>
    <row r="9" ht="49" customHeight="1">
      <c r="A9" s="2" t="inlineStr">
        <is>
          <t>8. Cách tính các ô thống kê</t>
        </is>
      </c>
      <c r="B9" s="3" t="inlineStr">
        <is>
          <t>- Ô hiển thị tổng số bản ghi ở cuối lưới: là TỔNG số quận/huyện khớp bộ lọc đang áp dụng, không phải tổng toàn danh mục. Đổi bộ lọc thì số này đổi theo.
- Số thứ tự chạy liên tục qua các trang: dòng đầu trang 2 tiếp nối dòng cuối trang 1.</t>
        </is>
      </c>
      <c r="C9" s="4" t="n"/>
      <c r="D9" s="4" t="n"/>
      <c r="E9" s="4" t="n"/>
      <c r="F9" s="4" t="n"/>
      <c r="G9" s="4" t="n"/>
      <c r="H9" s="4" t="n"/>
      <c r="I9" s="4" t="n"/>
      <c r="J9" s="4" t="n"/>
      <c r="K9" s="4" t="n"/>
      <c r="L9" s="4" t="n"/>
      <c r="M9" s="4" t="n"/>
      <c r="N9" s="5" t="n"/>
    </row>
    <row r="10" ht="134" customHeight="1">
      <c r="A10" s="2" t="inlineStr">
        <is>
          <t>9. Ghi chú đọc bảng</t>
        </is>
      </c>
      <c r="B10" s="3" t="inlineStr">
        <is>
          <t>Các bẫy dễ sai nhất của màn này, QA đọc trước khi test:
- ⚠️ Màn hình KHÔNG gắn quyền. Mọi tài khoản đăng nhập đều thêm, sửa, xóa được. Không có trường hợp test "thiếu quyền thì nút bị ẩn" như các màn danh mục khác.
- ⚠️ Trùng tên xét trong cùng một Tỉnh/TP, không phải toàn hệ thống — test đúng phạm vi này.
- ⚠️ Cửa sổ thêm mới có 3 nút: Lưu, Lưu và tiếp tục, Đóng. Nút "Lưu và tiếp tục" GIỮ cửa sổ mở và xóa trắng các ô để nhập tiếp bản ghi kế theo.
- ⚠️ Màn này KHÔNG có cột Trạng thái và KHÔNG có thao tác Khóa/Mở khóa. Đừng báo lỗi thiếu chức năng.
- ⚠️ Nút Lịch sử hiện thẳng trên cột Hành động cùng Sửa và Xóa.
- ⚠️ Cửa sổ Lịch sử của màn này đang hiện SỐ ĐỊNH DANH thay vì tên ở các trường tham chiếu. Ghi nhận là lỗi hiển thị đã biết.</t>
        </is>
      </c>
      <c r="C10" s="4" t="n"/>
      <c r="D10" s="4" t="n"/>
      <c r="E10" s="4" t="n"/>
      <c r="F10" s="4" t="n"/>
      <c r="G10" s="4" t="n"/>
      <c r="H10" s="4" t="n"/>
      <c r="I10" s="4" t="n"/>
      <c r="J10" s="4" t="n"/>
      <c r="K10" s="4" t="n"/>
      <c r="L10" s="4" t="n"/>
      <c r="M10" s="4" t="n"/>
      <c r="N10" s="5" t="n"/>
    </row>
    <row r="11" ht="24" customHeight="1">
      <c r="A11" s="6" t="inlineStr">
        <is>
          <t>Testcase _ Danh mục Quận/Huyện - Cập nhật ngày 17/08/2026</t>
        </is>
      </c>
      <c r="F11" s="7" t="inlineStr">
        <is>
          <t>TEST SUMMARY</t>
        </is>
      </c>
      <c r="I11" s="8" t="inlineStr">
        <is>
          <t>Số trường hợp DNS kiểm thử đạt (P):</t>
        </is>
      </c>
      <c r="K11" s="9">
        <f>COUNTIF(K18:M1000,"Passed")</f>
        <v/>
      </c>
      <c r="L11" s="5" t="n"/>
      <c r="M11" s="10" t="inlineStr">
        <is>
          <t>Số trường hợp TP kiểm thử đạt (P):</t>
        </is>
      </c>
      <c r="O11" s="11">
        <f>COUNTIF(O18:Q1000,"P")</f>
        <v/>
      </c>
      <c r="P11" s="4" t="n"/>
      <c r="Q11" s="5" t="n"/>
    </row>
    <row r="12" ht="24" customHeight="1">
      <c r="I12" s="8" t="inlineStr">
        <is>
          <t>Số trường hợp DNS kiểm thử không đạt (F)</t>
        </is>
      </c>
      <c r="K12" s="9">
        <f>COUNTIF(K18:M1000,"Failed")</f>
        <v/>
      </c>
      <c r="L12" s="5" t="n"/>
      <c r="M12" s="10" t="inlineStr">
        <is>
          <t>Số trường hợp TP kiểm thử không đạt (F)</t>
        </is>
      </c>
      <c r="O12" s="11">
        <f>COUNTIF(O18:Q1000,"F")</f>
        <v/>
      </c>
      <c r="P12" s="4" t="n"/>
      <c r="Q12" s="5" t="n"/>
    </row>
    <row r="13" ht="24" customHeight="1">
      <c r="I13" s="8" t="inlineStr">
        <is>
          <t>Số trường hợp DNS kiểm thử đang xem xét (PE)</t>
        </is>
      </c>
      <c r="K13" s="9">
        <f>COUNTIF(K18:M1000,"Pending")</f>
        <v/>
      </c>
      <c r="L13" s="5" t="n"/>
      <c r="M13" s="10" t="inlineStr">
        <is>
          <t>Số trường hợp TP kiểm thử đang xem xét (PE)</t>
        </is>
      </c>
      <c r="O13" s="11">
        <f>COUNTIF(O18:Q1000,"PE")</f>
        <v/>
      </c>
      <c r="P13" s="4" t="n"/>
      <c r="Q13" s="5" t="n"/>
    </row>
    <row r="14" ht="24" customHeight="1">
      <c r="I14" s="8" t="inlineStr">
        <is>
          <t>Số trường hợp DNS kiểm thử chưa thực hiện</t>
        </is>
      </c>
      <c r="K14" s="9">
        <f>COUNTIF(K18:K1000,"Not Executed")</f>
        <v/>
      </c>
      <c r="L14" s="5" t="n"/>
      <c r="M14" s="10" t="inlineStr">
        <is>
          <t>Số trường hợp TP kiểm thử chưa thực hiện</t>
        </is>
      </c>
      <c r="O14" s="11">
        <f>COUNTIF(O18:O1000,"")</f>
        <v/>
      </c>
      <c r="P14" s="4" t="n"/>
      <c r="Q14" s="5" t="n"/>
    </row>
    <row r="15" ht="24" customHeight="1">
      <c r="I15" s="8" t="inlineStr">
        <is>
          <t>Tổng số trường hợp DNS kiểm thử</t>
        </is>
      </c>
      <c r="K15" s="9">
        <f>COUNTIF(K18:K1000,"&lt;&gt;")</f>
        <v/>
      </c>
      <c r="L15" s="5" t="n"/>
      <c r="M15" s="10" t="inlineStr">
        <is>
          <t>Tổng số trường hợp TP kiểm thử</t>
        </is>
      </c>
      <c r="O15" s="11">
        <f>COUNTIF(C18:C1000,"TC*")</f>
        <v/>
      </c>
      <c r="P15" s="4" t="n"/>
      <c r="Q15" s="5" t="n"/>
    </row>
    <row r="16" ht="8" customHeight="1"/>
    <row r="17" ht="40" customHeight="1">
      <c r="A17" s="12" t="inlineStr">
        <is>
          <t>Module</t>
        </is>
      </c>
      <c r="B17" s="12" t="inlineStr">
        <is>
          <t>Nhóm chức năng</t>
        </is>
      </c>
      <c r="C17" s="12" t="inlineStr">
        <is>
          <t>TC ID</t>
        </is>
      </c>
      <c r="D17" s="12" t="inlineStr">
        <is>
          <t>Chức năng</t>
        </is>
      </c>
      <c r="E17" s="12" t="inlineStr">
        <is>
          <t>Priority</t>
        </is>
      </c>
      <c r="F17" s="12" t="inlineStr">
        <is>
          <t>Tiền điều kiện</t>
        </is>
      </c>
      <c r="G17" s="12" t="inlineStr">
        <is>
          <t>Bước thực hiện</t>
        </is>
      </c>
      <c r="H17" s="12" t="inlineStr">
        <is>
          <t>Test Data</t>
        </is>
      </c>
      <c r="I17" s="12" t="inlineStr">
        <is>
          <t>Expected Result (chi tiết)</t>
        </is>
      </c>
      <c r="J17" s="12" t="inlineStr">
        <is>
          <t>KQ thực tế</t>
        </is>
      </c>
      <c r="K17" s="12" t="inlineStr">
        <is>
          <t>DNS check lần 1</t>
        </is>
      </c>
      <c r="L17" s="12" t="inlineStr">
        <is>
          <t>DNS check lần 2</t>
        </is>
      </c>
      <c r="M17" s="12" t="inlineStr">
        <is>
          <t>DNS check lần 3</t>
        </is>
      </c>
      <c r="N17" s="12" t="inlineStr">
        <is>
          <t>Ghi chú</t>
        </is>
      </c>
      <c r="O17" s="12" t="inlineStr">
        <is>
          <t>TP check lần 1</t>
        </is>
      </c>
      <c r="P17" s="12" t="inlineStr">
        <is>
          <t>TP check lần 2</t>
        </is>
      </c>
      <c r="Q17" s="12" t="inlineStr">
        <is>
          <t>TP check lần 3</t>
        </is>
      </c>
    </row>
    <row r="18" ht="26" customHeight="1">
      <c r="A18" s="13" t="n"/>
      <c r="B18" s="13" t="n"/>
      <c r="C18" s="14" t="inlineStr">
        <is>
          <t>I. HIỂN THỊ TRANG &amp; TRUY CẬP</t>
        </is>
      </c>
      <c r="D18" s="4" t="n"/>
      <c r="E18" s="4" t="n"/>
      <c r="F18" s="4" t="n"/>
      <c r="G18" s="4" t="n"/>
      <c r="H18" s="4" t="n"/>
      <c r="I18" s="4" t="n"/>
      <c r="J18" s="4" t="n"/>
      <c r="K18" s="4" t="n"/>
      <c r="L18" s="4" t="n"/>
      <c r="M18" s="4" t="n"/>
      <c r="N18" s="4" t="n"/>
      <c r="O18" s="4" t="n"/>
      <c r="P18" s="4" t="n"/>
      <c r="Q18" s="5" t="n"/>
    </row>
    <row r="19" ht="36" customHeight="1">
      <c r="A19" s="15" t="inlineStr">
        <is>
          <t>Danh mục Quận/Huyện</t>
        </is>
      </c>
      <c r="B19" s="15" t="inlineStr">
        <is>
          <t>HIỂN THỊ TRANG &amp; TRUY CẬP</t>
        </is>
      </c>
      <c r="C19" s="16" t="inlineStr">
        <is>
          <t>TC_01.001</t>
        </is>
      </c>
      <c r="D19" s="15" t="inlineStr">
        <is>
          <t>Mở màn hình từ menu</t>
        </is>
      </c>
      <c r="E19" s="16" t="inlineStr">
        <is>
          <t>P0</t>
        </is>
      </c>
      <c r="F19" s="15" t="inlineStr">
        <is>
          <t>Tài khoản bất kỳ đã đăng nhập. Danh mục có sẵn dữ liệu.</t>
        </is>
      </c>
      <c r="G19" s="15" t="inlineStr">
        <is>
          <t>1. Đăng nhập
2. Vào menu Danh mục chung → Địa lý → Danh mục Quận/Huyện</t>
        </is>
      </c>
      <c r="H19" s="15" t="inlineStr">
        <is>
          <t>—</t>
        </is>
      </c>
      <c r="I19" s="15" t="inlineStr">
        <is>
          <t>- Tiêu đề trang hiện "Danh mục Quận/Huyện"
- Lưới nạp xong và hiện dữ liệu
- Có nút Tạo mới trên thanh công cụ</t>
        </is>
      </c>
      <c r="J19" s="15" t="inlineStr"/>
      <c r="K19" s="16" t="inlineStr">
        <is>
          <t>Not Executed</t>
        </is>
      </c>
      <c r="L19" s="16" t="inlineStr">
        <is>
          <t>Not Executed</t>
        </is>
      </c>
      <c r="M19" s="16" t="inlineStr">
        <is>
          <t>Not Executed</t>
        </is>
      </c>
      <c r="N19" s="15" t="inlineStr"/>
      <c r="O19" s="16" t="inlineStr"/>
      <c r="P19" s="16" t="inlineStr"/>
      <c r="Q19" s="16" t="inlineStr"/>
    </row>
    <row r="20" ht="49" customHeight="1">
      <c r="A20" s="15" t="inlineStr">
        <is>
          <t>Danh mục Quận/Huyện</t>
        </is>
      </c>
      <c r="B20" s="15" t="inlineStr">
        <is>
          <t>HIỂN THỊ TRANG &amp; TRUY CẬP</t>
        </is>
      </c>
      <c r="C20" s="16" t="inlineStr">
        <is>
          <t>TC_01.002</t>
        </is>
      </c>
      <c r="D20" s="15" t="inlineStr">
        <is>
          <t>Kiểm tra đủ các cột của lưới</t>
        </is>
      </c>
      <c r="E20" s="16" t="inlineStr">
        <is>
          <t>P0</t>
        </is>
      </c>
      <c r="F20" s="15" t="inlineStr">
        <is>
          <t>Người dùng chưa chỉnh cấu hình cột.</t>
        </is>
      </c>
      <c r="G20" s="15" t="inlineStr">
        <is>
          <t>1. Mở màn hình
2. Đọc tên từng tiêu đề cột</t>
        </is>
      </c>
      <c r="H20" s="15" t="inlineStr">
        <is>
          <t>—</t>
        </is>
      </c>
      <c r="I20" s="15" t="inlineStr">
        <is>
          <t>- Có đủ các cột: STT, Tên quận/huyện, Tỉnh/TP, Quốc gia, Ngày cập nhật, Người tạo, Ngày tạo, Hành động
- ⚠️ Các cột ghi "mặc định ẩn" KHÔNG xuất hiện</t>
        </is>
      </c>
      <c r="J20" s="15" t="inlineStr"/>
      <c r="K20" s="16" t="inlineStr">
        <is>
          <t>Not Executed</t>
        </is>
      </c>
      <c r="L20" s="16" t="inlineStr">
        <is>
          <t>Not Executed</t>
        </is>
      </c>
      <c r="M20" s="16" t="inlineStr">
        <is>
          <t>Not Executed</t>
        </is>
      </c>
      <c r="N20" s="15" t="inlineStr"/>
      <c r="O20" s="16" t="inlineStr"/>
      <c r="P20" s="16" t="inlineStr"/>
      <c r="Q20" s="16" t="inlineStr"/>
    </row>
    <row r="21" ht="34" customHeight="1">
      <c r="A21" s="15" t="inlineStr">
        <is>
          <t>Danh mục Quận/Huyện</t>
        </is>
      </c>
      <c r="B21" s="15" t="inlineStr">
        <is>
          <t>HIỂN THỊ TRANG &amp; TRUY CẬP</t>
        </is>
      </c>
      <c r="C21" s="16" t="inlineStr">
        <is>
          <t>TC_01.003</t>
        </is>
      </c>
      <c r="D21" s="15" t="inlineStr">
        <is>
          <t>Hiển thị khi không có dữ liệu khớp</t>
        </is>
      </c>
      <c r="E21" s="16" t="inlineStr">
        <is>
          <t>P1</t>
        </is>
      </c>
      <c r="F21" s="15" t="inlineStr">
        <is>
          <t>Danh mục có dữ liệu bình thường.</t>
        </is>
      </c>
      <c r="G21" s="15" t="inlineStr">
        <is>
          <t>1. Gõ vào ô tìm kiếm một chuỗi chắc chắn không tồn tại
2. Chờ lưới nạp lại</t>
        </is>
      </c>
      <c r="H21" s="15" t="inlineStr">
        <is>
          <t>Từ khóa: zzzkhongtontai999</t>
        </is>
      </c>
      <c r="I21" s="15" t="inlineStr">
        <is>
          <t>- Lưới hiện thông báo không có dữ liệu
- Không báo lỗi kỹ thuật</t>
        </is>
      </c>
      <c r="J21" s="15" t="inlineStr"/>
      <c r="K21" s="16" t="inlineStr">
        <is>
          <t>Not Executed</t>
        </is>
      </c>
      <c r="L21" s="16" t="inlineStr">
        <is>
          <t>Not Executed</t>
        </is>
      </c>
      <c r="M21" s="16" t="inlineStr">
        <is>
          <t>Not Executed</t>
        </is>
      </c>
      <c r="N21" s="15" t="inlineStr"/>
      <c r="O21" s="16" t="inlineStr"/>
      <c r="P21" s="16" t="inlineStr"/>
      <c r="Q21" s="16" t="inlineStr"/>
    </row>
    <row r="22" ht="49" customHeight="1">
      <c r="A22" s="15" t="inlineStr">
        <is>
          <t>Danh mục Quận/Huyện</t>
        </is>
      </c>
      <c r="B22" s="15" t="inlineStr">
        <is>
          <t>HIỂN THỊ TRANG &amp; TRUY CẬP</t>
        </is>
      </c>
      <c r="C22" s="16" t="inlineStr">
        <is>
          <t>TC_01.004</t>
        </is>
      </c>
      <c r="D22" s="15" t="inlineStr">
        <is>
          <t>Mọi tài khoản đều vào được màn hình</t>
        </is>
      </c>
      <c r="E22" s="16" t="inlineStr">
        <is>
          <t>P0</t>
        </is>
      </c>
      <c r="F22" s="15" t="inlineStr">
        <is>
          <t>Hai tài khoản: một quản trị, một nhân viên thường không được gán quyền danh mục nào.</t>
        </is>
      </c>
      <c r="G22" s="15" t="inlineStr">
        <is>
          <t>1. Đăng nhập bằng tài khoản nhân viên thường
2. Mở màn hình
3. Quan sát thanh công cụ và cột Hành động</t>
        </is>
      </c>
      <c r="H22" s="15" t="inlineStr">
        <is>
          <t>Tài khoản: nhân viên thường</t>
        </is>
      </c>
      <c r="I22" s="15" t="inlineStr">
        <is>
          <t>- ⚠️ VẪN mở được màn hình, thấy đủ dữ liệu
- ⚠️ Nút Tạo mới và các nút thao tác VẪN hiện đầy đủ
- Đây là hiện trạng đã ghi nhận, không phải lỗi test</t>
        </is>
      </c>
      <c r="J22" s="15" t="inlineStr"/>
      <c r="K22" s="16" t="inlineStr">
        <is>
          <t>Not Executed</t>
        </is>
      </c>
      <c r="L22" s="16" t="inlineStr">
        <is>
          <t>Not Executed</t>
        </is>
      </c>
      <c r="M22" s="16" t="inlineStr">
        <is>
          <t>Not Executed</t>
        </is>
      </c>
      <c r="N22" s="15" t="inlineStr"/>
      <c r="O22" s="16" t="inlineStr"/>
      <c r="P22" s="16" t="inlineStr"/>
      <c r="Q22" s="16" t="inlineStr"/>
    </row>
    <row r="23" ht="34" customHeight="1">
      <c r="A23" s="15" t="inlineStr">
        <is>
          <t>Danh mục Quận/Huyện</t>
        </is>
      </c>
      <c r="B23" s="15" t="inlineStr">
        <is>
          <t>HIỂN THỊ TRANG &amp; TRUY CẬP</t>
        </is>
      </c>
      <c r="C23" s="16" t="inlineStr">
        <is>
          <t>TC_01.005</t>
        </is>
      </c>
      <c r="D23" s="15" t="inlineStr">
        <is>
          <t>Số thứ tự liên tục qua các trang</t>
        </is>
      </c>
      <c r="E23" s="16" t="inlineStr">
        <is>
          <t>P0</t>
        </is>
      </c>
      <c r="F23" s="15" t="inlineStr">
        <is>
          <t>Danh mục có nhiều hơn một trang dữ liệu.</t>
        </is>
      </c>
      <c r="G23" s="15" t="inlineStr">
        <is>
          <t>1. Ghi lại số thứ tự dòng cuối trang 1
2. Sang trang 2, đọc số thứ tự dòng đầu</t>
        </is>
      </c>
      <c r="H23" s="15" t="inlineStr">
        <is>
          <t>—</t>
        </is>
      </c>
      <c r="I23" s="15" t="inlineStr">
        <is>
          <t>- Số thứ tự nối tiếp liền mạch, không quay về 1</t>
        </is>
      </c>
      <c r="J23" s="15" t="inlineStr"/>
      <c r="K23" s="16" t="inlineStr">
        <is>
          <t>Not Executed</t>
        </is>
      </c>
      <c r="L23" s="16" t="inlineStr">
        <is>
          <t>Not Executed</t>
        </is>
      </c>
      <c r="M23" s="16" t="inlineStr">
        <is>
          <t>Not Executed</t>
        </is>
      </c>
      <c r="N23" s="15" t="inlineStr"/>
      <c r="O23" s="16" t="inlineStr"/>
      <c r="P23" s="16" t="inlineStr"/>
      <c r="Q23" s="16" t="inlineStr"/>
    </row>
    <row r="24" ht="34" customHeight="1">
      <c r="A24" s="15" t="inlineStr">
        <is>
          <t>Danh mục Quận/Huyện</t>
        </is>
      </c>
      <c r="B24" s="15" t="inlineStr">
        <is>
          <t>HIỂN THỊ TRANG &amp; TRUY CẬP</t>
        </is>
      </c>
      <c r="C24" s="16" t="inlineStr">
        <is>
          <t>TC_01.006</t>
        </is>
      </c>
      <c r="D24" s="15" t="inlineStr">
        <is>
          <t>Đổi số dòng mỗi trang</t>
        </is>
      </c>
      <c r="E24" s="16" t="inlineStr">
        <is>
          <t>P1</t>
        </is>
      </c>
      <c r="F24" s="15" t="inlineStr">
        <is>
          <t>Đang hiển thị số dòng mặc định.</t>
        </is>
      </c>
      <c r="G24" s="15" t="inlineStr">
        <is>
          <t>1. Đổi ô số dòng mỗi trang sang giá trị lớn hơn
2. Đếm số dòng trên lưới</t>
        </is>
      </c>
      <c r="H24" s="15" t="inlineStr">
        <is>
          <t>—</t>
        </is>
      </c>
      <c r="I24" s="15" t="inlineStr">
        <is>
          <t>- Lưới hiện đúng số dòng đã chọn
- ⚠️ Sau khi đổi phải quay về trang 1</t>
        </is>
      </c>
      <c r="J24" s="15" t="inlineStr"/>
      <c r="K24" s="16" t="inlineStr">
        <is>
          <t>Not Executed</t>
        </is>
      </c>
      <c r="L24" s="16" t="inlineStr">
        <is>
          <t>Not Executed</t>
        </is>
      </c>
      <c r="M24" s="16" t="inlineStr">
        <is>
          <t>Not Executed</t>
        </is>
      </c>
      <c r="N24" s="15" t="inlineStr"/>
      <c r="O24" s="16" t="inlineStr"/>
      <c r="P24" s="16" t="inlineStr"/>
      <c r="Q24" s="16" t="inlineStr"/>
    </row>
    <row r="25" ht="34" customHeight="1">
      <c r="A25" s="15" t="inlineStr">
        <is>
          <t>Danh mục Quận/Huyện</t>
        </is>
      </c>
      <c r="B25" s="15" t="inlineStr">
        <is>
          <t>HIỂN THỊ TRANG &amp; TRUY CẬP</t>
        </is>
      </c>
      <c r="C25" s="16" t="inlineStr">
        <is>
          <t>TC_01.007</t>
        </is>
      </c>
      <c r="D25" s="15" t="inlineStr">
        <is>
          <t>Sắp xếp theo cột Tên</t>
        </is>
      </c>
      <c r="E25" s="16" t="inlineStr">
        <is>
          <t>P0</t>
        </is>
      </c>
      <c r="F25" s="15" t="inlineStr">
        <is>
          <t>Danh mục có ít nhất 5 bản ghi.</t>
        </is>
      </c>
      <c r="G25" s="15" t="inlineStr">
        <is>
          <t>1. Bấm tiêu đề cột Tên quận/huyện
2. Đọc 5 dòng đầu
3. Bấm lần thứ hai</t>
        </is>
      </c>
      <c r="H25" s="15" t="inlineStr">
        <is>
          <t>—</t>
        </is>
      </c>
      <c r="I25" s="15" t="inlineStr">
        <is>
          <t>- Lần 1: xếp tăng dần đúng thứ tự tiếng Việt có dấu
- Lần 2: thứ tự đảo ngược hoàn toàn</t>
        </is>
      </c>
      <c r="J25" s="15" t="inlineStr"/>
      <c r="K25" s="16" t="inlineStr">
        <is>
          <t>Not Executed</t>
        </is>
      </c>
      <c r="L25" s="16" t="inlineStr">
        <is>
          <t>Not Executed</t>
        </is>
      </c>
      <c r="M25" s="16" t="inlineStr">
        <is>
          <t>Not Executed</t>
        </is>
      </c>
      <c r="N25" s="15" t="inlineStr"/>
      <c r="O25" s="16" t="inlineStr"/>
      <c r="P25" s="16" t="inlineStr"/>
      <c r="Q25" s="16" t="inlineStr"/>
    </row>
    <row r="26" ht="34" customHeight="1">
      <c r="A26" s="15" t="inlineStr">
        <is>
          <t>Danh mục Quận/Huyện</t>
        </is>
      </c>
      <c r="B26" s="15" t="inlineStr">
        <is>
          <t>HIỂN THỊ TRANG &amp; TRUY CẬP</t>
        </is>
      </c>
      <c r="C26" s="16" t="inlineStr">
        <is>
          <t>TC_01.008</t>
        </is>
      </c>
      <c r="D26" s="15" t="inlineStr">
        <is>
          <t>Sắp xếp theo Ngày tạo</t>
        </is>
      </c>
      <c r="E26" s="16" t="inlineStr">
        <is>
          <t>P1</t>
        </is>
      </c>
      <c r="F26" s="15" t="inlineStr">
        <is>
          <t>Danh mục có bản ghi tạo ở nhiều thời điểm khác nhau.</t>
        </is>
      </c>
      <c r="G26" s="15" t="inlineStr">
        <is>
          <t>1. Bấm tiêu đề cột Ngày tạo hai lần để lấy giảm dần
2. Đọc 5 dòng đầu</t>
        </is>
      </c>
      <c r="H26" s="15" t="inlineStr">
        <is>
          <t>—</t>
        </is>
      </c>
      <c r="I26" s="15" t="inlineStr">
        <is>
          <t>- Bản ghi tạo gần đây nhất đứng đầu</t>
        </is>
      </c>
      <c r="J26" s="15" t="inlineStr"/>
      <c r="K26" s="16" t="inlineStr">
        <is>
          <t>Not Executed</t>
        </is>
      </c>
      <c r="L26" s="16" t="inlineStr">
        <is>
          <t>Not Executed</t>
        </is>
      </c>
      <c r="M26" s="16" t="inlineStr">
        <is>
          <t>Not Executed</t>
        </is>
      </c>
      <c r="N26" s="15" t="inlineStr"/>
      <c r="O26" s="16" t="inlineStr"/>
      <c r="P26" s="16" t="inlineStr"/>
      <c r="Q26" s="16" t="inlineStr"/>
    </row>
    <row r="27" ht="34" customHeight="1">
      <c r="A27" s="15" t="inlineStr">
        <is>
          <t>Danh mục Quận/Huyện</t>
        </is>
      </c>
      <c r="B27" s="15" t="inlineStr">
        <is>
          <t>HIỂN THỊ TRANG &amp; TRUY CẬP</t>
        </is>
      </c>
      <c r="C27" s="16" t="inlineStr">
        <is>
          <t>TC_01.009</t>
        </is>
      </c>
      <c r="D27" s="15" t="inlineStr">
        <is>
          <t>Sắp xếp giữ nguyên khi chuyển trang</t>
        </is>
      </c>
      <c r="E27" s="16" t="inlineStr">
        <is>
          <t>P1</t>
        </is>
      </c>
      <c r="F27" s="15" t="inlineStr">
        <is>
          <t>Đang sắp xếp giảm dần theo cột Tên quận/huyện.</t>
        </is>
      </c>
      <c r="G27" s="15" t="inlineStr">
        <is>
          <t>1. Bấm sang trang 2
2. So dòng đầu trang 2 với dòng cuối trang 1</t>
        </is>
      </c>
      <c r="H27" s="15" t="inlineStr">
        <is>
          <t>—</t>
        </is>
      </c>
      <c r="I27" s="15" t="inlineStr">
        <is>
          <t>- Thứ tự nối tiếp liền mạch, không đảo lộn hay lặp bản ghi</t>
        </is>
      </c>
      <c r="J27" s="15" t="inlineStr"/>
      <c r="K27" s="16" t="inlineStr">
        <is>
          <t>Not Executed</t>
        </is>
      </c>
      <c r="L27" s="16" t="inlineStr">
        <is>
          <t>Not Executed</t>
        </is>
      </c>
      <c r="M27" s="16" t="inlineStr">
        <is>
          <t>Not Executed</t>
        </is>
      </c>
      <c r="N27" s="15" t="inlineStr"/>
      <c r="O27" s="16" t="inlineStr"/>
      <c r="P27" s="16" t="inlineStr"/>
      <c r="Q27" s="16" t="inlineStr"/>
    </row>
    <row r="28" ht="34" customHeight="1">
      <c r="A28" s="15" t="inlineStr">
        <is>
          <t>Danh mục Quận/Huyện</t>
        </is>
      </c>
      <c r="B28" s="15" t="inlineStr">
        <is>
          <t>HIỂN THỊ TRANG &amp; TRUY CẬP</t>
        </is>
      </c>
      <c r="C28" s="16" t="inlineStr">
        <is>
          <t>TC_01.010</t>
        </is>
      </c>
      <c r="D28" s="15" t="inlineStr">
        <is>
          <t>Màn hình không có cột Trạng thái</t>
        </is>
      </c>
      <c r="E28" s="16" t="inlineStr">
        <is>
          <t>P1</t>
        </is>
      </c>
      <c r="F28" s="15" t="inlineStr">
        <is>
          <t>Đang ở màn Danh mục Quận/Huyện.</t>
        </is>
      </c>
      <c r="G28" s="15" t="inlineStr">
        <is>
          <t>1. Đọc toàn bộ tiêu đề cột
2. Mở bộ lọc</t>
        </is>
      </c>
      <c r="H28" s="15" t="inlineStr">
        <is>
          <t>—</t>
        </is>
      </c>
      <c r="I28" s="15" t="inlineStr">
        <is>
          <t>- ⚠️ KHÔNG có cột Trạng thái trên lưới
- ⚠️ KHÔNG có ô lọc Trạng thái — đây là thiết kế của màn này</t>
        </is>
      </c>
      <c r="J28" s="15" t="inlineStr"/>
      <c r="K28" s="16" t="inlineStr">
        <is>
          <t>Not Executed</t>
        </is>
      </c>
      <c r="L28" s="16" t="inlineStr">
        <is>
          <t>Not Executed</t>
        </is>
      </c>
      <c r="M28" s="16" t="inlineStr">
        <is>
          <t>Not Executed</t>
        </is>
      </c>
      <c r="N28" s="15" t="inlineStr"/>
      <c r="O28" s="16" t="inlineStr"/>
      <c r="P28" s="16" t="inlineStr"/>
      <c r="Q28" s="16" t="inlineStr"/>
    </row>
    <row r="29" ht="26" customHeight="1">
      <c r="A29" s="13" t="n"/>
      <c r="B29" s="13" t="n"/>
      <c r="C29" s="14" t="inlineStr">
        <is>
          <t>II. TÌM KIẾM &amp; LỌC DANH SÁCH</t>
        </is>
      </c>
      <c r="D29" s="4" t="n"/>
      <c r="E29" s="4" t="n"/>
      <c r="F29" s="4" t="n"/>
      <c r="G29" s="4" t="n"/>
      <c r="H29" s="4" t="n"/>
      <c r="I29" s="4" t="n"/>
      <c r="J29" s="4" t="n"/>
      <c r="K29" s="4" t="n"/>
      <c r="L29" s="4" t="n"/>
      <c r="M29" s="4" t="n"/>
      <c r="N29" s="4" t="n"/>
      <c r="O29" s="4" t="n"/>
      <c r="P29" s="4" t="n"/>
      <c r="Q29" s="5" t="n"/>
    </row>
    <row r="30" ht="34" customHeight="1">
      <c r="A30" s="15" t="inlineStr">
        <is>
          <t>Danh mục Quận/Huyện</t>
        </is>
      </c>
      <c r="B30" s="15" t="inlineStr">
        <is>
          <t>TÌM KIẾM &amp; LỌC DANH SÁCH</t>
        </is>
      </c>
      <c r="C30" s="16" t="inlineStr">
        <is>
          <t>TC_02.001</t>
        </is>
      </c>
      <c r="D30" s="15" t="inlineStr">
        <is>
          <t>Tìm nhanh theo tên</t>
        </is>
      </c>
      <c r="E30" s="16" t="inlineStr">
        <is>
          <t>P0</t>
        </is>
      </c>
      <c r="F30" s="15" t="inlineStr">
        <is>
          <t>Có bản ghi tên chứa đoạn cần tìm.</t>
        </is>
      </c>
      <c r="G30" s="15" t="inlineStr">
        <is>
          <t>1. Gõ một phần tên vào ô tìm kiếm
2. Chờ lưới nạp lại</t>
        </is>
      </c>
      <c r="H30" s="15" t="inlineStr">
        <is>
          <t>Từ khóa: (một phần tên)</t>
        </is>
      </c>
      <c r="I30" s="15" t="inlineStr">
        <is>
          <t>- Chỉ còn các bản ghi có tên chứa từ khóa
- Tổng số bản ghi đổi theo kết quả</t>
        </is>
      </c>
      <c r="J30" s="15" t="inlineStr"/>
      <c r="K30" s="16" t="inlineStr">
        <is>
          <t>Not Executed</t>
        </is>
      </c>
      <c r="L30" s="16" t="inlineStr">
        <is>
          <t>Not Executed</t>
        </is>
      </c>
      <c r="M30" s="16" t="inlineStr">
        <is>
          <t>Not Executed</t>
        </is>
      </c>
      <c r="N30" s="15" t="inlineStr"/>
      <c r="O30" s="16" t="inlineStr"/>
      <c r="P30" s="16" t="inlineStr"/>
      <c r="Q30" s="16" t="inlineStr"/>
    </row>
    <row r="31" ht="34" customHeight="1">
      <c r="A31" s="15" t="inlineStr">
        <is>
          <t>Danh mục Quận/Huyện</t>
        </is>
      </c>
      <c r="B31" s="15" t="inlineStr">
        <is>
          <t>TÌM KIẾM &amp; LỌC DANH SÁCH</t>
        </is>
      </c>
      <c r="C31" s="16" t="inlineStr">
        <is>
          <t>TC_02.002</t>
        </is>
      </c>
      <c r="D31" s="15" t="inlineStr">
        <is>
          <t>Tìm nhanh không phân biệt chữ hoa chữ thường</t>
        </is>
      </c>
      <c r="E31" s="16" t="inlineStr">
        <is>
          <t>P1</t>
        </is>
      </c>
      <c r="F31" s="15" t="inlineStr">
        <is>
          <t>Có bản ghi tên viết hoa chữ đầu.</t>
        </is>
      </c>
      <c r="G31" s="15" t="inlineStr">
        <is>
          <t>1. Gõ từ khóa toàn chữ thường
2. Ghi nhận kết quả
3. Xóa, gõ lại toàn chữ hoa
4. So sánh</t>
        </is>
      </c>
      <c r="H31" s="15" t="inlineStr">
        <is>
          <t>—</t>
        </is>
      </c>
      <c r="I31" s="15" t="inlineStr">
        <is>
          <t>- Hai lần tìm cho ra CÙNG một tập kết quả</t>
        </is>
      </c>
      <c r="J31" s="15" t="inlineStr"/>
      <c r="K31" s="16" t="inlineStr">
        <is>
          <t>Not Executed</t>
        </is>
      </c>
      <c r="L31" s="16" t="inlineStr">
        <is>
          <t>Not Executed</t>
        </is>
      </c>
      <c r="M31" s="16" t="inlineStr">
        <is>
          <t>Not Executed</t>
        </is>
      </c>
      <c r="N31" s="15" t="inlineStr"/>
      <c r="O31" s="16" t="inlineStr"/>
      <c r="P31" s="16" t="inlineStr"/>
      <c r="Q31" s="16" t="inlineStr"/>
    </row>
    <row r="32" ht="34" customHeight="1">
      <c r="A32" s="15" t="inlineStr">
        <is>
          <t>Danh mục Quận/Huyện</t>
        </is>
      </c>
      <c r="B32" s="15" t="inlineStr">
        <is>
          <t>TÌM KIẾM &amp; LỌC DANH SÁCH</t>
        </is>
      </c>
      <c r="C32" s="16" t="inlineStr">
        <is>
          <t>TC_02.003</t>
        </is>
      </c>
      <c r="D32" s="15" t="inlineStr">
        <is>
          <t>Xóa từ khóa thì danh sách quay về đầy đủ</t>
        </is>
      </c>
      <c r="E32" s="16" t="inlineStr">
        <is>
          <t>P0</t>
        </is>
      </c>
      <c r="F32" s="15" t="inlineStr">
        <is>
          <t>Đang tìm với từ khóa cho ra ít kết quả.</t>
        </is>
      </c>
      <c r="G32" s="15" t="inlineStr">
        <is>
          <t>1. Xóa hết nội dung ô tìm kiếm
2. Chờ lưới nạp lại</t>
        </is>
      </c>
      <c r="H32" s="15" t="inlineStr">
        <is>
          <t>—</t>
        </is>
      </c>
      <c r="I32" s="15" t="inlineStr">
        <is>
          <t>- Tổng số bản ghi quay lại như ban đầu
- Lưới về trang 1</t>
        </is>
      </c>
      <c r="J32" s="15" t="inlineStr"/>
      <c r="K32" s="16" t="inlineStr">
        <is>
          <t>Not Executed</t>
        </is>
      </c>
      <c r="L32" s="16" t="inlineStr">
        <is>
          <t>Not Executed</t>
        </is>
      </c>
      <c r="M32" s="16" t="inlineStr">
        <is>
          <t>Not Executed</t>
        </is>
      </c>
      <c r="N32" s="15" t="inlineStr"/>
      <c r="O32" s="16" t="inlineStr"/>
      <c r="P32" s="16" t="inlineStr"/>
      <c r="Q32" s="16" t="inlineStr"/>
    </row>
    <row r="33" ht="34" customHeight="1">
      <c r="A33" s="15" t="inlineStr">
        <is>
          <t>Danh mục Quận/Huyện</t>
        </is>
      </c>
      <c r="B33" s="15" t="inlineStr">
        <is>
          <t>TÌM KIẾM &amp; LỌC DANH SÁCH</t>
        </is>
      </c>
      <c r="C33" s="16" t="inlineStr">
        <is>
          <t>TC_02.004</t>
        </is>
      </c>
      <c r="D33" s="15" t="inlineStr">
        <is>
          <t>Nút Làm mới xóa hết tiêu chí và nạp lại</t>
        </is>
      </c>
      <c r="E33" s="16" t="inlineStr">
        <is>
          <t>P0</t>
        </is>
      </c>
      <c r="F33" s="15" t="inlineStr">
        <is>
          <t>Đang áp dụng đủ các tiêu chí lọc của màn.</t>
        </is>
      </c>
      <c r="G33" s="15" t="inlineStr">
        <is>
          <t>1. Bấm nút Làm mới
2. Quan sát các ô lọc và lưới</t>
        </is>
      </c>
      <c r="H33" s="15" t="inlineStr">
        <is>
          <t>—</t>
        </is>
      </c>
      <c r="I33" s="15" t="inlineStr">
        <is>
          <t>- Tất cả ô lọc trở về rỗng
- ⚠️ Lưới PHẢI nạp lại ngay, không được giữ nguyên kết quả cũ</t>
        </is>
      </c>
      <c r="J33" s="15" t="inlineStr"/>
      <c r="K33" s="16" t="inlineStr">
        <is>
          <t>Not Executed</t>
        </is>
      </c>
      <c r="L33" s="16" t="inlineStr">
        <is>
          <t>Not Executed</t>
        </is>
      </c>
      <c r="M33" s="16" t="inlineStr">
        <is>
          <t>Not Executed</t>
        </is>
      </c>
      <c r="N33" s="15" t="inlineStr"/>
      <c r="O33" s="16" t="inlineStr"/>
      <c r="P33" s="16" t="inlineStr"/>
      <c r="Q33" s="16" t="inlineStr"/>
    </row>
    <row r="34" ht="34" customHeight="1">
      <c r="A34" s="15" t="inlineStr">
        <is>
          <t>Danh mục Quận/Huyện</t>
        </is>
      </c>
      <c r="B34" s="15" t="inlineStr">
        <is>
          <t>TÌM KIẾM &amp; LỌC DANH SÁCH</t>
        </is>
      </c>
      <c r="C34" s="16" t="inlineStr">
        <is>
          <t>TC_02.005</t>
        </is>
      </c>
      <c r="D34" s="15" t="inlineStr">
        <is>
          <t>Áp dụng bộ lọc khi đang ở trang giữa</t>
        </is>
      </c>
      <c r="E34" s="16" t="inlineStr">
        <is>
          <t>P0</t>
        </is>
      </c>
      <c r="F34" s="15" t="inlineStr">
        <is>
          <t>Đang ở trang 3. Bộ lọc mới chỉ cho ra vài kết quả.</t>
        </is>
      </c>
      <c r="G34" s="15" t="inlineStr">
        <is>
          <t>1. Áp dụng bộ lọc
2. Quan sát lưới</t>
        </is>
      </c>
      <c r="H34" s="15" t="inlineStr">
        <is>
          <t>—</t>
        </is>
      </c>
      <c r="I34" s="15" t="inlineStr">
        <is>
          <t>- ⚠️ Lưới quay về trang 1 — không được hiện trang trống</t>
        </is>
      </c>
      <c r="J34" s="15" t="inlineStr"/>
      <c r="K34" s="16" t="inlineStr">
        <is>
          <t>Not Executed</t>
        </is>
      </c>
      <c r="L34" s="16" t="inlineStr">
        <is>
          <t>Not Executed</t>
        </is>
      </c>
      <c r="M34" s="16" t="inlineStr">
        <is>
          <t>Not Executed</t>
        </is>
      </c>
      <c r="N34" s="15" t="inlineStr"/>
      <c r="O34" s="16" t="inlineStr"/>
      <c r="P34" s="16" t="inlineStr"/>
      <c r="Q34" s="16" t="inlineStr"/>
    </row>
    <row r="35" ht="34" customHeight="1">
      <c r="A35" s="15" t="inlineStr">
        <is>
          <t>Danh mục Quận/Huyện</t>
        </is>
      </c>
      <c r="B35" s="15" t="inlineStr">
        <is>
          <t>TÌM KIẾM &amp; LỌC DANH SÁCH</t>
        </is>
      </c>
      <c r="C35" s="16" t="inlineStr">
        <is>
          <t>TC_02.006</t>
        </is>
      </c>
      <c r="D35" s="15" t="inlineStr">
        <is>
          <t>Lọc ra kết quả rỗng</t>
        </is>
      </c>
      <c r="E35" s="16" t="inlineStr">
        <is>
          <t>P1</t>
        </is>
      </c>
      <c r="F35" s="15" t="inlineStr">
        <is>
          <t>Chọn tổ hợp tiêu chí chắc chắn không có bản ghi nào thỏa.</t>
        </is>
      </c>
      <c r="G35" s="15" t="inlineStr">
        <is>
          <t>1. Chọn tổ hợp đó
2. Bấm Tìm kiếm</t>
        </is>
      </c>
      <c r="H35" s="15" t="inlineStr">
        <is>
          <t>—</t>
        </is>
      </c>
      <c r="I35" s="15" t="inlineStr">
        <is>
          <t>- Lưới hiện thông báo không có dữ liệu
- Tổng số bản ghi = 0</t>
        </is>
      </c>
      <c r="J35" s="15" t="inlineStr"/>
      <c r="K35" s="16" t="inlineStr">
        <is>
          <t>Not Executed</t>
        </is>
      </c>
      <c r="L35" s="16" t="inlineStr">
        <is>
          <t>Not Executed</t>
        </is>
      </c>
      <c r="M35" s="16" t="inlineStr">
        <is>
          <t>Not Executed</t>
        </is>
      </c>
      <c r="N35" s="15" t="inlineStr"/>
      <c r="O35" s="16" t="inlineStr"/>
      <c r="P35" s="16" t="inlineStr"/>
      <c r="Q35" s="16" t="inlineStr"/>
    </row>
    <row r="36" ht="34" customHeight="1">
      <c r="A36" s="15" t="inlineStr">
        <is>
          <t>Danh mục Quận/Huyện</t>
        </is>
      </c>
      <c r="B36" s="15" t="inlineStr">
        <is>
          <t>TÌM KIẾM &amp; LỌC DANH SÁCH</t>
        </is>
      </c>
      <c r="C36" s="16" t="inlineStr">
        <is>
          <t>TC_02.007</t>
        </is>
      </c>
      <c r="D36" s="15" t="inlineStr">
        <is>
          <t>Lọc theo Quốc gia</t>
        </is>
      </c>
      <c r="E36" s="16" t="inlineStr">
        <is>
          <t>P0</t>
        </is>
      </c>
      <c r="F36" s="15" t="inlineStr">
        <is>
          <t>Có bản ghi thỏa giá trị lọc sẽ chọn.</t>
        </is>
      </c>
      <c r="G36" s="15" t="inlineStr">
        <is>
          <t>1. Chọn Quốc gia
2. Bấm Tìm kiếm</t>
        </is>
      </c>
      <c r="H36" s="15" t="inlineStr">
        <is>
          <t>Quốc gia: (một giá trị có dữ liệu)</t>
        </is>
      </c>
      <c r="I36" s="15" t="inlineStr">
        <is>
          <t>- Mọi dòng trả về đều khớp giá trị đã chọn
- Tổng số bản ghi đổi đúng</t>
        </is>
      </c>
      <c r="J36" s="15" t="inlineStr"/>
      <c r="K36" s="16" t="inlineStr">
        <is>
          <t>Not Executed</t>
        </is>
      </c>
      <c r="L36" s="16" t="inlineStr">
        <is>
          <t>Not Executed</t>
        </is>
      </c>
      <c r="M36" s="16" t="inlineStr">
        <is>
          <t>Not Executed</t>
        </is>
      </c>
      <c r="N36" s="15" t="inlineStr"/>
      <c r="O36" s="16" t="inlineStr"/>
      <c r="P36" s="16" t="inlineStr"/>
      <c r="Q36" s="16" t="inlineStr"/>
    </row>
    <row r="37" ht="34" customHeight="1">
      <c r="A37" s="15" t="inlineStr">
        <is>
          <t>Danh mục Quận/Huyện</t>
        </is>
      </c>
      <c r="B37" s="15" t="inlineStr">
        <is>
          <t>TÌM KIẾM &amp; LỌC DANH SÁCH</t>
        </is>
      </c>
      <c r="C37" s="16" t="inlineStr">
        <is>
          <t>TC_02.008</t>
        </is>
      </c>
      <c r="D37" s="15" t="inlineStr">
        <is>
          <t>Lọc theo Tỉnh/TP</t>
        </is>
      </c>
      <c r="E37" s="16" t="inlineStr">
        <is>
          <t>P1</t>
        </is>
      </c>
      <c r="F37" s="15" t="inlineStr">
        <is>
          <t>Có bản ghi thỏa giá trị lọc sẽ chọn.</t>
        </is>
      </c>
      <c r="G37" s="15" t="inlineStr">
        <is>
          <t>1. Chọn Tỉnh/TP
2. Bấm Tìm kiếm</t>
        </is>
      </c>
      <c r="H37" s="15" t="inlineStr">
        <is>
          <t>Tỉnh/TP: (một giá trị có dữ liệu)</t>
        </is>
      </c>
      <c r="I37" s="15" t="inlineStr">
        <is>
          <t>- Mọi dòng trả về đều khớp giá trị đã chọn
- Tổng số bản ghi đổi đúng</t>
        </is>
      </c>
      <c r="J37" s="15" t="inlineStr"/>
      <c r="K37" s="16" t="inlineStr">
        <is>
          <t>Not Executed</t>
        </is>
      </c>
      <c r="L37" s="16" t="inlineStr">
        <is>
          <t>Not Executed</t>
        </is>
      </c>
      <c r="M37" s="16" t="inlineStr">
        <is>
          <t>Not Executed</t>
        </is>
      </c>
      <c r="N37" s="15" t="inlineStr"/>
      <c r="O37" s="16" t="inlineStr"/>
      <c r="P37" s="16" t="inlineStr"/>
      <c r="Q37" s="16" t="inlineStr"/>
    </row>
    <row r="38" ht="34" customHeight="1">
      <c r="A38" s="15" t="inlineStr">
        <is>
          <t>Danh mục Quận/Huyện</t>
        </is>
      </c>
      <c r="B38" s="15" t="inlineStr">
        <is>
          <t>TÌM KIẾM &amp; LỌC DANH SÁCH</t>
        </is>
      </c>
      <c r="C38" s="16" t="inlineStr">
        <is>
          <t>TC_02.009</t>
        </is>
      </c>
      <c r="D38" s="15" t="inlineStr">
        <is>
          <t>Đổi Quốc gia thì ô Tỉnh/TP bị xóa trắng</t>
        </is>
      </c>
      <c r="E38" s="16" t="inlineStr">
        <is>
          <t>P0</t>
        </is>
      </c>
      <c r="F38" s="15" t="inlineStr">
        <is>
          <t>Đang chọn Quốc gia = Việt Nam và một Tỉnh/TP cụ thể.</t>
        </is>
      </c>
      <c r="G38" s="15" t="inlineStr">
        <is>
          <t>1. Đổi ô Quốc gia sang quốc gia khác
2. Quan sát ô Tỉnh/TP</t>
        </is>
      </c>
      <c r="H38" s="15" t="inlineStr">
        <is>
          <t>—</t>
        </is>
      </c>
      <c r="I38" s="15" t="inlineStr">
        <is>
          <t>- ⚠️ Ô Tỉnh/TP bị xóa trắng và nạp lại danh sách theo quốc gia mới</t>
        </is>
      </c>
      <c r="J38" s="15" t="inlineStr"/>
      <c r="K38" s="16" t="inlineStr">
        <is>
          <t>Not Executed</t>
        </is>
      </c>
      <c r="L38" s="16" t="inlineStr">
        <is>
          <t>Not Executed</t>
        </is>
      </c>
      <c r="M38" s="16" t="inlineStr">
        <is>
          <t>Not Executed</t>
        </is>
      </c>
      <c r="N38" s="15" t="inlineStr"/>
      <c r="O38" s="16" t="inlineStr"/>
      <c r="P38" s="16" t="inlineStr"/>
      <c r="Q38" s="16" t="inlineStr"/>
    </row>
    <row r="39" ht="26" customHeight="1">
      <c r="A39" s="13" t="n"/>
      <c r="B39" s="13" t="n"/>
      <c r="C39" s="14" t="inlineStr">
        <is>
          <t>III. THÊM MỚI</t>
        </is>
      </c>
      <c r="D39" s="4" t="n"/>
      <c r="E39" s="4" t="n"/>
      <c r="F39" s="4" t="n"/>
      <c r="G39" s="4" t="n"/>
      <c r="H39" s="4" t="n"/>
      <c r="I39" s="4" t="n"/>
      <c r="J39" s="4" t="n"/>
      <c r="K39" s="4" t="n"/>
      <c r="L39" s="4" t="n"/>
      <c r="M39" s="4" t="n"/>
      <c r="N39" s="4" t="n"/>
      <c r="O39" s="4" t="n"/>
      <c r="P39" s="4" t="n"/>
      <c r="Q39" s="5" t="n"/>
    </row>
    <row r="40" ht="34" customHeight="1">
      <c r="A40" s="15" t="inlineStr">
        <is>
          <t>Danh mục Quận/Huyện</t>
        </is>
      </c>
      <c r="B40" s="15" t="inlineStr">
        <is>
          <t>THÊM MỚI</t>
        </is>
      </c>
      <c r="C40" s="16" t="inlineStr">
        <is>
          <t>TC_03.001</t>
        </is>
      </c>
      <c r="D40" s="15" t="inlineStr">
        <is>
          <t>Mở cửa sổ thêm mới</t>
        </is>
      </c>
      <c r="E40" s="16" t="inlineStr">
        <is>
          <t>P0</t>
        </is>
      </c>
      <c r="F40" s="15" t="inlineStr">
        <is>
          <t>Đang ở màn Danh mục Quận/Huyện.</t>
        </is>
      </c>
      <c r="G40" s="15" t="inlineStr">
        <is>
          <t>1. Bấm nút Tạo mới
2. Quan sát cửa sổ</t>
        </is>
      </c>
      <c r="H40" s="15" t="inlineStr">
        <is>
          <t>—</t>
        </is>
      </c>
      <c r="I40" s="15" t="inlineStr">
        <is>
          <t>- Cửa sổ mở với tiêu đề "Tạo quận/huyện"
- Mọi ô đều để trống
- Có đủ 3 nút: Lưu, Lưu và tiếp tục, Đóng</t>
        </is>
      </c>
      <c r="J40" s="15" t="inlineStr"/>
      <c r="K40" s="16" t="inlineStr">
        <is>
          <t>Not Executed</t>
        </is>
      </c>
      <c r="L40" s="16" t="inlineStr">
        <is>
          <t>Not Executed</t>
        </is>
      </c>
      <c r="M40" s="16" t="inlineStr">
        <is>
          <t>Not Executed</t>
        </is>
      </c>
      <c r="N40" s="15" t="inlineStr"/>
      <c r="O40" s="16" t="inlineStr"/>
      <c r="P40" s="16" t="inlineStr"/>
      <c r="Q40" s="16" t="inlineStr"/>
    </row>
    <row r="41" ht="34" customHeight="1">
      <c r="A41" s="15" t="inlineStr">
        <is>
          <t>Danh mục Quận/Huyện</t>
        </is>
      </c>
      <c r="B41" s="15" t="inlineStr">
        <is>
          <t>THÊM MỚI</t>
        </is>
      </c>
      <c r="C41" s="16" t="inlineStr">
        <is>
          <t>TC_03.002</t>
        </is>
      </c>
      <c r="D41" s="15" t="inlineStr">
        <is>
          <t>Thêm mới đủ trường bắt buộc</t>
        </is>
      </c>
      <c r="E41" s="16" t="inlineStr">
        <is>
          <t>P0</t>
        </is>
      </c>
      <c r="F41" s="15" t="inlineStr">
        <is>
          <t>Đã chuẩn bị giá trị hợp lệ, chưa tồn tại trong danh mục.</t>
        </is>
      </c>
      <c r="G41" s="15" t="inlineStr">
        <is>
          <t>1. Bấm Tạo mới
2. Nhập đủ: Tên quận/huyện, Tỉnh/TP
3. Bấm Lưu</t>
        </is>
      </c>
      <c r="H41" s="15" t="inlineStr">
        <is>
          <t>(giá trị hợp lệ cho từng ô bắt buộc)</t>
        </is>
      </c>
      <c r="I41" s="15" t="inlineStr">
        <is>
          <t>- Lưu thành công, hiện thông báo thành công
- Cửa sổ đóng, danh sách nạp lại và có bản ghi mới</t>
        </is>
      </c>
      <c r="J41" s="15" t="inlineStr"/>
      <c r="K41" s="16" t="inlineStr">
        <is>
          <t>Not Executed</t>
        </is>
      </c>
      <c r="L41" s="16" t="inlineStr">
        <is>
          <t>Not Executed</t>
        </is>
      </c>
      <c r="M41" s="16" t="inlineStr">
        <is>
          <t>Not Executed</t>
        </is>
      </c>
      <c r="N41" s="15" t="inlineStr"/>
      <c r="O41" s="16" t="inlineStr"/>
      <c r="P41" s="16" t="inlineStr"/>
      <c r="Q41" s="16" t="inlineStr"/>
    </row>
    <row r="42" ht="35" customHeight="1">
      <c r="A42" s="15" t="inlineStr">
        <is>
          <t>Danh mục Quận/Huyện</t>
        </is>
      </c>
      <c r="B42" s="15" t="inlineStr">
        <is>
          <t>THÊM MỚI</t>
        </is>
      </c>
      <c r="C42" s="16" t="inlineStr">
        <is>
          <t>TC_03.003</t>
        </is>
      </c>
      <c r="D42" s="15" t="inlineStr">
        <is>
          <t>Thiếu Tên quận/huyện thì bị chặn</t>
        </is>
      </c>
      <c r="E42" s="16" t="inlineStr">
        <is>
          <t>P0</t>
        </is>
      </c>
      <c r="F42" s="15" t="inlineStr">
        <is>
          <t>Đang ở cửa sổ thêm mới, các ô khác đã nhập hợp lệ.</t>
        </is>
      </c>
      <c r="G42" s="15" t="inlineStr">
        <is>
          <t>1. Để trống ô Tên quận/huyện
2. Bấm Lưu</t>
        </is>
      </c>
      <c r="H42" s="15" t="inlineStr">
        <is>
          <t>Tên quận/huyện: (để trống)</t>
        </is>
      </c>
      <c r="I42" s="15" t="inlineStr">
        <is>
          <t>- Báo lỗi đỏ ngay dưới ô Tên quận/huyện: "Bắt buộc phải nhập"
- Cửa sổ KHÔNG đóng, dữ liệu đã nhập vẫn còn</t>
        </is>
      </c>
      <c r="J42" s="15" t="inlineStr"/>
      <c r="K42" s="16" t="inlineStr">
        <is>
          <t>Not Executed</t>
        </is>
      </c>
      <c r="L42" s="16" t="inlineStr">
        <is>
          <t>Not Executed</t>
        </is>
      </c>
      <c r="M42" s="16" t="inlineStr">
        <is>
          <t>Not Executed</t>
        </is>
      </c>
      <c r="N42" s="15" t="inlineStr"/>
      <c r="O42" s="16" t="inlineStr"/>
      <c r="P42" s="16" t="inlineStr"/>
      <c r="Q42" s="16" t="inlineStr"/>
    </row>
    <row r="43" ht="34" customHeight="1">
      <c r="A43" s="15" t="inlineStr">
        <is>
          <t>Danh mục Quận/Huyện</t>
        </is>
      </c>
      <c r="B43" s="15" t="inlineStr">
        <is>
          <t>THÊM MỚI</t>
        </is>
      </c>
      <c r="C43" s="16" t="inlineStr">
        <is>
          <t>TC_03.004</t>
        </is>
      </c>
      <c r="D43" s="15" t="inlineStr">
        <is>
          <t>Thiếu Tỉnh/TP thì bị chặn</t>
        </is>
      </c>
      <c r="E43" s="16" t="inlineStr">
        <is>
          <t>P0</t>
        </is>
      </c>
      <c r="F43" s="15" t="inlineStr">
        <is>
          <t>Đang ở cửa sổ thêm mới, các ô khác đã nhập hợp lệ.</t>
        </is>
      </c>
      <c r="G43" s="15" t="inlineStr">
        <is>
          <t>1. Để trống ô Tỉnh/TP
2. Bấm Lưu</t>
        </is>
      </c>
      <c r="H43" s="15" t="inlineStr">
        <is>
          <t>Tỉnh/TP: (để trống)</t>
        </is>
      </c>
      <c r="I43" s="15" t="inlineStr">
        <is>
          <t>- Báo lỗi đỏ ngay dưới ô Tỉnh/TP: "Bắt buộc phải nhập"
- Cửa sổ KHÔNG đóng, dữ liệu đã nhập vẫn còn</t>
        </is>
      </c>
      <c r="J43" s="15" t="inlineStr"/>
      <c r="K43" s="16" t="inlineStr">
        <is>
          <t>Not Executed</t>
        </is>
      </c>
      <c r="L43" s="16" t="inlineStr">
        <is>
          <t>Not Executed</t>
        </is>
      </c>
      <c r="M43" s="16" t="inlineStr">
        <is>
          <t>Not Executed</t>
        </is>
      </c>
      <c r="N43" s="15" t="inlineStr"/>
      <c r="O43" s="16" t="inlineStr"/>
      <c r="P43" s="16" t="inlineStr"/>
      <c r="Q43" s="16" t="inlineStr"/>
    </row>
    <row r="44" ht="34" customHeight="1">
      <c r="A44" s="15" t="inlineStr">
        <is>
          <t>Danh mục Quận/Huyện</t>
        </is>
      </c>
      <c r="B44" s="15" t="inlineStr">
        <is>
          <t>THÊM MỚI</t>
        </is>
      </c>
      <c r="C44" s="16" t="inlineStr">
        <is>
          <t>TC_03.005</t>
        </is>
      </c>
      <c r="D44" s="15" t="inlineStr">
        <is>
          <t>Trùng tên bị chặn</t>
        </is>
      </c>
      <c r="E44" s="16" t="inlineStr">
        <is>
          <t>P0</t>
        </is>
      </c>
      <c r="F44" s="15" t="inlineStr">
        <is>
          <t>Danh mục đã có bản ghi tên "X" trong cùng một Tỉnh/TP.</t>
        </is>
      </c>
      <c r="G44" s="15" t="inlineStr">
        <is>
          <t>1. Thêm mới với tên "X" và cùng Tỉnh/TP
2. Bấm Lưu</t>
        </is>
      </c>
      <c r="H44" s="15" t="inlineStr">
        <is>
          <t>Tên: X</t>
        </is>
      </c>
      <c r="I44" s="15" t="inlineStr">
        <is>
          <t>- Báo lỗi "Tên quận/huyện này đã tồn tại trong tỉnh/TP"
- Không tạo ra bản ghi mới</t>
        </is>
      </c>
      <c r="J44" s="15" t="inlineStr"/>
      <c r="K44" s="16" t="inlineStr">
        <is>
          <t>Not Executed</t>
        </is>
      </c>
      <c r="L44" s="16" t="inlineStr">
        <is>
          <t>Not Executed</t>
        </is>
      </c>
      <c r="M44" s="16" t="inlineStr">
        <is>
          <t>Not Executed</t>
        </is>
      </c>
      <c r="N44" s="15" t="inlineStr"/>
      <c r="O44" s="16" t="inlineStr"/>
      <c r="P44" s="16" t="inlineStr"/>
      <c r="Q44" s="16" t="inlineStr"/>
    </row>
    <row r="45" ht="34" customHeight="1">
      <c r="A45" s="15" t="inlineStr">
        <is>
          <t>Danh mục Quận/Huyện</t>
        </is>
      </c>
      <c r="B45" s="15" t="inlineStr">
        <is>
          <t>THÊM MỚI</t>
        </is>
      </c>
      <c r="C45" s="16" t="inlineStr">
        <is>
          <t>TC_03.006</t>
        </is>
      </c>
      <c r="D45" s="15" t="inlineStr">
        <is>
          <t>Trùng tên nhưng khác phạm vi thì lưu được</t>
        </is>
      </c>
      <c r="E45" s="16" t="inlineStr">
        <is>
          <t>P0</t>
        </is>
      </c>
      <c r="F45" s="15" t="inlineStr">
        <is>
          <t>Đã có bản ghi tên "X" trong cùng một Tỉnh/TP.</t>
        </is>
      </c>
      <c r="G45" s="15" t="inlineStr">
        <is>
          <t>1. Thêm mới tên "X" nhưng đổi sang Tỉnh/TP khác
2. Bấm Lưu</t>
        </is>
      </c>
      <c r="H45" s="15" t="inlineStr">
        <is>
          <t>Tên: X</t>
        </is>
      </c>
      <c r="I45" s="15" t="inlineStr">
        <is>
          <t>- ⚠️ LƯU ĐƯỢC — trùng tên chỉ bị chặn trong cùng một Tỉnh/TP</t>
        </is>
      </c>
      <c r="J45" s="15" t="inlineStr"/>
      <c r="K45" s="16" t="inlineStr">
        <is>
          <t>Not Executed</t>
        </is>
      </c>
      <c r="L45" s="16" t="inlineStr">
        <is>
          <t>Not Executed</t>
        </is>
      </c>
      <c r="M45" s="16" t="inlineStr">
        <is>
          <t>Not Executed</t>
        </is>
      </c>
      <c r="N45" s="15" t="inlineStr"/>
      <c r="O45" s="16" t="inlineStr"/>
      <c r="P45" s="16" t="inlineStr"/>
      <c r="Q45" s="16" t="inlineStr"/>
    </row>
    <row r="46" ht="55" customHeight="1">
      <c r="A46" s="15" t="inlineStr">
        <is>
          <t>Danh mục Quận/Huyện</t>
        </is>
      </c>
      <c r="B46" s="15" t="inlineStr">
        <is>
          <t>THÊM MỚI</t>
        </is>
      </c>
      <c r="C46" s="16" t="inlineStr">
        <is>
          <t>TC_03.007</t>
        </is>
      </c>
      <c r="D46" s="15" t="inlineStr">
        <is>
          <t>Nút Lưu và tiếp tục giữ cửa sổ mở</t>
        </is>
      </c>
      <c r="E46" s="16" t="inlineStr">
        <is>
          <t>P0</t>
        </is>
      </c>
      <c r="F46" s="15" t="inlineStr">
        <is>
          <t>Đang ở cửa sổ thêm mới, đã nhập đủ trường bắt buộc.</t>
        </is>
      </c>
      <c r="G46" s="15" t="inlineStr">
        <is>
          <t>1. Bấm "Lưu và tiếp tục"
2. Quan sát cửa sổ và danh sách phía sau</t>
        </is>
      </c>
      <c r="H46" s="15" t="inlineStr">
        <is>
          <t>—</t>
        </is>
      </c>
      <c r="I46" s="15" t="inlineStr">
        <is>
          <t>- Bản ghi được ghi, hiện thông báo thành công
- ⚠️ Cửa sổ VẪN MỞ, các ô đã xóa trắng để nhập tiếp
- Nhập bản ghi thứ hai rồi bấm Lưu thì cả hai đều có trong danh sách</t>
        </is>
      </c>
      <c r="J46" s="15" t="inlineStr"/>
      <c r="K46" s="16" t="inlineStr">
        <is>
          <t>Not Executed</t>
        </is>
      </c>
      <c r="L46" s="16" t="inlineStr">
        <is>
          <t>Not Executed</t>
        </is>
      </c>
      <c r="M46" s="16" t="inlineStr">
        <is>
          <t>Not Executed</t>
        </is>
      </c>
      <c r="N46" s="15" t="inlineStr"/>
      <c r="O46" s="16" t="inlineStr"/>
      <c r="P46" s="16" t="inlineStr"/>
      <c r="Q46" s="16" t="inlineStr"/>
    </row>
    <row r="47" ht="34" customHeight="1">
      <c r="A47" s="15" t="inlineStr">
        <is>
          <t>Danh mục Quận/Huyện</t>
        </is>
      </c>
      <c r="B47" s="15" t="inlineStr">
        <is>
          <t>THÊM MỚI</t>
        </is>
      </c>
      <c r="C47" s="16" t="inlineStr">
        <is>
          <t>TC_03.008</t>
        </is>
      </c>
      <c r="D47" s="15" t="inlineStr">
        <is>
          <t>Bấm Đóng thì không ghi gì</t>
        </is>
      </c>
      <c r="E47" s="16" t="inlineStr">
        <is>
          <t>P0</t>
        </is>
      </c>
      <c r="F47" s="15" t="inlineStr">
        <is>
          <t>Đang ở cửa sổ thêm mới, đã nhập đủ trường bắt buộc.</t>
        </is>
      </c>
      <c r="G47" s="15" t="inlineStr">
        <is>
          <t>1. Bấm Đóng
2. Xem danh sách</t>
        </is>
      </c>
      <c r="H47" s="15" t="inlineStr">
        <is>
          <t>—</t>
        </is>
      </c>
      <c r="I47" s="15" t="inlineStr">
        <is>
          <t>- Cửa sổ đóng, KHÔNG có bản ghi mới nào được tạo</t>
        </is>
      </c>
      <c r="J47" s="15" t="inlineStr"/>
      <c r="K47" s="16" t="inlineStr">
        <is>
          <t>Not Executed</t>
        </is>
      </c>
      <c r="L47" s="16" t="inlineStr">
        <is>
          <t>Not Executed</t>
        </is>
      </c>
      <c r="M47" s="16" t="inlineStr">
        <is>
          <t>Not Executed</t>
        </is>
      </c>
      <c r="N47" s="15" t="inlineStr"/>
      <c r="O47" s="16" t="inlineStr"/>
      <c r="P47" s="16" t="inlineStr"/>
      <c r="Q47" s="16" t="inlineStr"/>
    </row>
    <row r="48" ht="34" customHeight="1">
      <c r="A48" s="15" t="inlineStr">
        <is>
          <t>Danh mục Quận/Huyện</t>
        </is>
      </c>
      <c r="B48" s="15" t="inlineStr">
        <is>
          <t>THÊM MỚI</t>
        </is>
      </c>
      <c r="C48" s="16" t="inlineStr">
        <is>
          <t>TC_03.009</t>
        </is>
      </c>
      <c r="D48" s="15" t="inlineStr">
        <is>
          <t>Bấm Lưu hai lần liên tiếp</t>
        </is>
      </c>
      <c r="E48" s="16" t="inlineStr">
        <is>
          <t>P0</t>
        </is>
      </c>
      <c r="F48" s="15" t="inlineStr">
        <is>
          <t>Đang ở cửa sổ thêm mới, đã nhập đủ trường bắt buộc.</t>
        </is>
      </c>
      <c r="G48" s="15" t="inlineStr">
        <is>
          <t>1. Bấm Lưu
2. Bấm Lưu lần hai thật nhanh
3. Xem danh sách</t>
        </is>
      </c>
      <c r="H48" s="15" t="inlineStr">
        <is>
          <t>—</t>
        </is>
      </c>
      <c r="I48" s="15" t="inlineStr">
        <is>
          <t>- ⚠️ Chỉ tạo ra ĐÚNG MỘT bản ghi, không tạo hai bản trùng</t>
        </is>
      </c>
      <c r="J48" s="15" t="inlineStr"/>
      <c r="K48" s="16" t="inlineStr">
        <is>
          <t>Not Executed</t>
        </is>
      </c>
      <c r="L48" s="16" t="inlineStr">
        <is>
          <t>Not Executed</t>
        </is>
      </c>
      <c r="M48" s="16" t="inlineStr">
        <is>
          <t>Not Executed</t>
        </is>
      </c>
      <c r="N48" s="15" t="inlineStr"/>
      <c r="O48" s="16" t="inlineStr"/>
      <c r="P48" s="16" t="inlineStr"/>
      <c r="Q48" s="16" t="inlineStr"/>
    </row>
    <row r="49" ht="26" customHeight="1">
      <c r="A49" s="13" t="n"/>
      <c r="B49" s="13" t="n"/>
      <c r="C49" s="14" t="inlineStr">
        <is>
          <t>IV. CHỈNH SỬA</t>
        </is>
      </c>
      <c r="D49" s="4" t="n"/>
      <c r="E49" s="4" t="n"/>
      <c r="F49" s="4" t="n"/>
      <c r="G49" s="4" t="n"/>
      <c r="H49" s="4" t="n"/>
      <c r="I49" s="4" t="n"/>
      <c r="J49" s="4" t="n"/>
      <c r="K49" s="4" t="n"/>
      <c r="L49" s="4" t="n"/>
      <c r="M49" s="4" t="n"/>
      <c r="N49" s="4" t="n"/>
      <c r="O49" s="4" t="n"/>
      <c r="P49" s="4" t="n"/>
      <c r="Q49" s="5" t="n"/>
    </row>
    <row r="50" ht="34" customHeight="1">
      <c r="A50" s="15" t="inlineStr">
        <is>
          <t>Danh mục Quận/Huyện</t>
        </is>
      </c>
      <c r="B50" s="15" t="inlineStr">
        <is>
          <t>CHỈNH SỬA</t>
        </is>
      </c>
      <c r="C50" s="16" t="inlineStr">
        <is>
          <t>TC_04.001</t>
        </is>
      </c>
      <c r="D50" s="15" t="inlineStr">
        <is>
          <t>Mở cửa sổ sửa</t>
        </is>
      </c>
      <c r="E50" s="16" t="inlineStr">
        <is>
          <t>P0</t>
        </is>
      </c>
      <c r="F50" s="15" t="inlineStr">
        <is>
          <t>Có bản ghi trong danh sách.</t>
        </is>
      </c>
      <c r="G50" s="15" t="inlineStr">
        <is>
          <t>1. Bấm biểu tượng bút chì ở dòng đó
2. Quan sát cửa sổ</t>
        </is>
      </c>
      <c r="H50" s="15" t="inlineStr">
        <is>
          <t>—</t>
        </is>
      </c>
      <c r="I50" s="15" t="inlineStr">
        <is>
          <t>- Cửa sổ mở với mọi ô đã điền sẵn dữ liệu hiện tại</t>
        </is>
      </c>
      <c r="J50" s="15" t="inlineStr"/>
      <c r="K50" s="16" t="inlineStr">
        <is>
          <t>Not Executed</t>
        </is>
      </c>
      <c r="L50" s="16" t="inlineStr">
        <is>
          <t>Not Executed</t>
        </is>
      </c>
      <c r="M50" s="16" t="inlineStr">
        <is>
          <t>Not Executed</t>
        </is>
      </c>
      <c r="N50" s="15" t="inlineStr"/>
      <c r="O50" s="16" t="inlineStr"/>
      <c r="P50" s="16" t="inlineStr"/>
      <c r="Q50" s="16" t="inlineStr"/>
    </row>
    <row r="51" ht="34" customHeight="1">
      <c r="A51" s="15" t="inlineStr">
        <is>
          <t>Danh mục Quận/Huyện</t>
        </is>
      </c>
      <c r="B51" s="15" t="inlineStr">
        <is>
          <t>CHỈNH SỬA</t>
        </is>
      </c>
      <c r="C51" s="16" t="inlineStr">
        <is>
          <t>TC_04.002</t>
        </is>
      </c>
      <c r="D51" s="15" t="inlineStr">
        <is>
          <t>Sửa và lưu thành công</t>
        </is>
      </c>
      <c r="E51" s="16" t="inlineStr">
        <is>
          <t>P0</t>
        </is>
      </c>
      <c r="F51" s="15" t="inlineStr">
        <is>
          <t>Bản ghi A đang có tên "Tên cũ".</t>
        </is>
      </c>
      <c r="G51" s="15" t="inlineStr">
        <is>
          <t>1. Mở cửa sổ sửa bản ghi A
2. Đổi tên thành "Tên mới"
3. Bấm Lưu
4. Xem lưới</t>
        </is>
      </c>
      <c r="H51" s="15" t="inlineStr">
        <is>
          <t>Tên mới: Tên mới</t>
        </is>
      </c>
      <c r="I51" s="15" t="inlineStr">
        <is>
          <t>- Lưu thành công, thông báo cập nhật thành công
- Cột tên trên lưới đổi thành "Tên mới"</t>
        </is>
      </c>
      <c r="J51" s="15" t="inlineStr"/>
      <c r="K51" s="16" t="inlineStr">
        <is>
          <t>Not Executed</t>
        </is>
      </c>
      <c r="L51" s="16" t="inlineStr">
        <is>
          <t>Not Executed</t>
        </is>
      </c>
      <c r="M51" s="16" t="inlineStr">
        <is>
          <t>Not Executed</t>
        </is>
      </c>
      <c r="N51" s="15" t="inlineStr"/>
      <c r="O51" s="16" t="inlineStr"/>
      <c r="P51" s="16" t="inlineStr"/>
      <c r="Q51" s="16" t="inlineStr"/>
    </row>
    <row r="52" ht="34" customHeight="1">
      <c r="A52" s="15" t="inlineStr">
        <is>
          <t>Danh mục Quận/Huyện</t>
        </is>
      </c>
      <c r="B52" s="15" t="inlineStr">
        <is>
          <t>CHỈNH SỬA</t>
        </is>
      </c>
      <c r="C52" s="16" t="inlineStr">
        <is>
          <t>TC_04.003</t>
        </is>
      </c>
      <c r="D52" s="15" t="inlineStr">
        <is>
          <t>Giữ nguyên tên của chính mình khi sửa</t>
        </is>
      </c>
      <c r="E52" s="16" t="inlineStr">
        <is>
          <t>P0</t>
        </is>
      </c>
      <c r="F52" s="15" t="inlineStr">
        <is>
          <t>Bản ghi A có tên "X".</t>
        </is>
      </c>
      <c r="G52" s="15" t="inlineStr">
        <is>
          <t>1. Mở cửa sổ sửa A
2. KHÔNG đổi tên, chỉ đổi ô khác
3. Bấm Lưu</t>
        </is>
      </c>
      <c r="H52" s="15" t="inlineStr">
        <is>
          <t>Tên: giữ nguyên X</t>
        </is>
      </c>
      <c r="I52" s="15" t="inlineStr">
        <is>
          <t>- ⚠️ LƯU ĐƯỢC, không báo lỗi trùng với chính mình</t>
        </is>
      </c>
      <c r="J52" s="15" t="inlineStr"/>
      <c r="K52" s="16" t="inlineStr">
        <is>
          <t>Not Executed</t>
        </is>
      </c>
      <c r="L52" s="16" t="inlineStr">
        <is>
          <t>Not Executed</t>
        </is>
      </c>
      <c r="M52" s="16" t="inlineStr">
        <is>
          <t>Not Executed</t>
        </is>
      </c>
      <c r="N52" s="15" t="inlineStr"/>
      <c r="O52" s="16" t="inlineStr"/>
      <c r="P52" s="16" t="inlineStr"/>
      <c r="Q52" s="16" t="inlineStr"/>
    </row>
    <row r="53" ht="34" customHeight="1">
      <c r="A53" s="15" t="inlineStr">
        <is>
          <t>Danh mục Quận/Huyện</t>
        </is>
      </c>
      <c r="B53" s="15" t="inlineStr">
        <is>
          <t>CHỈNH SỬA</t>
        </is>
      </c>
      <c r="C53" s="16" t="inlineStr">
        <is>
          <t>TC_04.004</t>
        </is>
      </c>
      <c r="D53" s="15" t="inlineStr">
        <is>
          <t>Sửa trùng tên với bản ghi khác</t>
        </is>
      </c>
      <c r="E53" s="16" t="inlineStr">
        <is>
          <t>P0</t>
        </is>
      </c>
      <c r="F53" s="15" t="inlineStr">
        <is>
          <t>Bản ghi A tên "X", bản ghi B tên "Y", cùng Tỉnh/TP.</t>
        </is>
      </c>
      <c r="G53" s="15" t="inlineStr">
        <is>
          <t>1. Mở cửa sổ sửa B
2. Đổi tên thành "X"
3. Bấm Lưu</t>
        </is>
      </c>
      <c r="H53" s="15" t="inlineStr">
        <is>
          <t>Tên: X</t>
        </is>
      </c>
      <c r="I53" s="15" t="inlineStr">
        <is>
          <t>- Báo lỗi "Tên quận/huyện này đã tồn tại trong tỉnh/TP", không lưu</t>
        </is>
      </c>
      <c r="J53" s="15" t="inlineStr"/>
      <c r="K53" s="16" t="inlineStr">
        <is>
          <t>Not Executed</t>
        </is>
      </c>
      <c r="L53" s="16" t="inlineStr">
        <is>
          <t>Not Executed</t>
        </is>
      </c>
      <c r="M53" s="16" t="inlineStr">
        <is>
          <t>Not Executed</t>
        </is>
      </c>
      <c r="N53" s="15" t="inlineStr"/>
      <c r="O53" s="16" t="inlineStr"/>
      <c r="P53" s="16" t="inlineStr"/>
      <c r="Q53" s="16" t="inlineStr"/>
    </row>
    <row r="54" ht="34" customHeight="1">
      <c r="A54" s="15" t="inlineStr">
        <is>
          <t>Danh mục Quận/Huyện</t>
        </is>
      </c>
      <c r="B54" s="15" t="inlineStr">
        <is>
          <t>CHỈNH SỬA</t>
        </is>
      </c>
      <c r="C54" s="16" t="inlineStr">
        <is>
          <t>TC_04.005</t>
        </is>
      </c>
      <c r="D54" s="15" t="inlineStr">
        <is>
          <t>Để trống tên khi sửa</t>
        </is>
      </c>
      <c r="E54" s="16" t="inlineStr">
        <is>
          <t>P0</t>
        </is>
      </c>
      <c r="F54" s="15" t="inlineStr">
        <is>
          <t>Đang mở cửa sổ sửa một bản ghi.</t>
        </is>
      </c>
      <c r="G54" s="15" t="inlineStr">
        <is>
          <t>1. Xóa trắng ô Tên quận/huyện
2. Bấm Lưu</t>
        </is>
      </c>
      <c r="H54" s="15" t="inlineStr">
        <is>
          <t>(để trống)</t>
        </is>
      </c>
      <c r="I54" s="15" t="inlineStr">
        <is>
          <t>- Báo lỗi "Bắt buộc phải nhập", không lưu</t>
        </is>
      </c>
      <c r="J54" s="15" t="inlineStr"/>
      <c r="K54" s="16" t="inlineStr">
        <is>
          <t>Not Executed</t>
        </is>
      </c>
      <c r="L54" s="16" t="inlineStr">
        <is>
          <t>Not Executed</t>
        </is>
      </c>
      <c r="M54" s="16" t="inlineStr">
        <is>
          <t>Not Executed</t>
        </is>
      </c>
      <c r="N54" s="15" t="inlineStr"/>
      <c r="O54" s="16" t="inlineStr"/>
      <c r="P54" s="16" t="inlineStr"/>
      <c r="Q54" s="16" t="inlineStr"/>
    </row>
    <row r="55" ht="37" customHeight="1">
      <c r="A55" s="15" t="inlineStr">
        <is>
          <t>Danh mục Quận/Huyện</t>
        </is>
      </c>
      <c r="B55" s="15" t="inlineStr">
        <is>
          <t>CHỈNH SỬA</t>
        </is>
      </c>
      <c r="C55" s="16" t="inlineStr">
        <is>
          <t>TC_04.006</t>
        </is>
      </c>
      <c r="D55" s="15" t="inlineStr">
        <is>
          <t>Sửa xong ghi vào lịch sử</t>
        </is>
      </c>
      <c r="E55" s="16" t="inlineStr">
        <is>
          <t>P0</t>
        </is>
      </c>
      <c r="F55" s="15" t="inlineStr">
        <is>
          <t>Vừa đổi tên một bản ghi từ "Tên cũ" thành "Tên mới".</t>
        </is>
      </c>
      <c r="G55" s="15" t="inlineStr">
        <is>
          <t>1. Mở Lịch sử của bản ghi đó
2. Đọc dòng trên cùng</t>
        </is>
      </c>
      <c r="H55" s="15" t="inlineStr">
        <is>
          <t>—</t>
        </is>
      </c>
      <c r="I55" s="15" t="inlineStr">
        <is>
          <t>- Có dòng ghi nhận lần sửa, nêu giá trị cũ "Tên cũ" và giá trị mới "Tên mới"
- Kèm người thực hiện và thời điểm</t>
        </is>
      </c>
      <c r="J55" s="15" t="inlineStr"/>
      <c r="K55" s="16" t="inlineStr">
        <is>
          <t>Not Executed</t>
        </is>
      </c>
      <c r="L55" s="16" t="inlineStr">
        <is>
          <t>Not Executed</t>
        </is>
      </c>
      <c r="M55" s="16" t="inlineStr">
        <is>
          <t>Not Executed</t>
        </is>
      </c>
      <c r="N55" s="15" t="inlineStr"/>
      <c r="O55" s="16" t="inlineStr"/>
      <c r="P55" s="16" t="inlineStr"/>
      <c r="Q55" s="16" t="inlineStr"/>
    </row>
    <row r="56" ht="34" customHeight="1">
      <c r="A56" s="15" t="inlineStr">
        <is>
          <t>Danh mục Quận/Huyện</t>
        </is>
      </c>
      <c r="B56" s="15" t="inlineStr">
        <is>
          <t>CHỈNH SỬA</t>
        </is>
      </c>
      <c r="C56" s="16" t="inlineStr">
        <is>
          <t>TC_04.007</t>
        </is>
      </c>
      <c r="D56" s="15" t="inlineStr">
        <is>
          <t>Bấm Đóng khi đang sửa thì không ghi gì</t>
        </is>
      </c>
      <c r="E56" s="16" t="inlineStr">
        <is>
          <t>P0</t>
        </is>
      </c>
      <c r="F56" s="15" t="inlineStr">
        <is>
          <t>Đang mở cửa sổ sửa và đã đổi tên.</t>
        </is>
      </c>
      <c r="G56" s="15" t="inlineStr">
        <is>
          <t>1. Bấm Đóng
2. Xem lại lưới</t>
        </is>
      </c>
      <c r="H56" s="15" t="inlineStr">
        <is>
          <t>—</t>
        </is>
      </c>
      <c r="I56" s="15" t="inlineStr">
        <is>
          <t>- Tên trên lưới KHÔNG đổi</t>
        </is>
      </c>
      <c r="J56" s="15" t="inlineStr"/>
      <c r="K56" s="16" t="inlineStr">
        <is>
          <t>Not Executed</t>
        </is>
      </c>
      <c r="L56" s="16" t="inlineStr">
        <is>
          <t>Not Executed</t>
        </is>
      </c>
      <c r="M56" s="16" t="inlineStr">
        <is>
          <t>Not Executed</t>
        </is>
      </c>
      <c r="N56" s="15" t="inlineStr"/>
      <c r="O56" s="16" t="inlineStr"/>
      <c r="P56" s="16" t="inlineStr"/>
      <c r="Q56" s="16" t="inlineStr"/>
    </row>
    <row r="57" ht="26" customHeight="1">
      <c r="A57" s="13" t="n"/>
      <c r="B57" s="13" t="n"/>
      <c r="C57" s="14" t="inlineStr">
        <is>
          <t>V. XÓA</t>
        </is>
      </c>
      <c r="D57" s="4" t="n"/>
      <c r="E57" s="4" t="n"/>
      <c r="F57" s="4" t="n"/>
      <c r="G57" s="4" t="n"/>
      <c r="H57" s="4" t="n"/>
      <c r="I57" s="4" t="n"/>
      <c r="J57" s="4" t="n"/>
      <c r="K57" s="4" t="n"/>
      <c r="L57" s="4" t="n"/>
      <c r="M57" s="4" t="n"/>
      <c r="N57" s="4" t="n"/>
      <c r="O57" s="4" t="n"/>
      <c r="P57" s="4" t="n"/>
      <c r="Q57" s="5" t="n"/>
    </row>
    <row r="58" ht="34" customHeight="1">
      <c r="A58" s="15" t="inlineStr">
        <is>
          <t>Danh mục Quận/Huyện</t>
        </is>
      </c>
      <c r="B58" s="15" t="inlineStr">
        <is>
          <t>XÓA</t>
        </is>
      </c>
      <c r="C58" s="16" t="inlineStr">
        <is>
          <t>TC_05.001</t>
        </is>
      </c>
      <c r="D58" s="15" t="inlineStr">
        <is>
          <t>Hộp xác nhận nêu đúng tên bản ghi</t>
        </is>
      </c>
      <c r="E58" s="16" t="inlineStr">
        <is>
          <t>P0</t>
        </is>
      </c>
      <c r="F58" s="15" t="inlineStr">
        <is>
          <t>Có bản ghi tên "X" trong danh sách.</t>
        </is>
      </c>
      <c r="G58" s="15" t="inlineStr">
        <is>
          <t>1. Bấm biểu tượng thùng rác ở dòng đó
2. Đọc nội dung hộp xác nhận</t>
        </is>
      </c>
      <c r="H58" s="15" t="inlineStr">
        <is>
          <t>—</t>
        </is>
      </c>
      <c r="I58" s="15" t="inlineStr">
        <is>
          <t>- Hộp hiện câu "Bạn có chắc muốn xóa quận/huyện \"X\"?"
- Có hai nút Xóa và Hủy</t>
        </is>
      </c>
      <c r="J58" s="15" t="inlineStr"/>
      <c r="K58" s="16" t="inlineStr">
        <is>
          <t>Not Executed</t>
        </is>
      </c>
      <c r="L58" s="16" t="inlineStr">
        <is>
          <t>Not Executed</t>
        </is>
      </c>
      <c r="M58" s="16" t="inlineStr">
        <is>
          <t>Not Executed</t>
        </is>
      </c>
      <c r="N58" s="15" t="inlineStr"/>
      <c r="O58" s="16" t="inlineStr"/>
      <c r="P58" s="16" t="inlineStr"/>
      <c r="Q58" s="16" t="inlineStr"/>
    </row>
    <row r="59" ht="34" customHeight="1">
      <c r="A59" s="15" t="inlineStr">
        <is>
          <t>Danh mục Quận/Huyện</t>
        </is>
      </c>
      <c r="B59" s="15" t="inlineStr">
        <is>
          <t>XÓA</t>
        </is>
      </c>
      <c r="C59" s="16" t="inlineStr">
        <is>
          <t>TC_05.002</t>
        </is>
      </c>
      <c r="D59" s="15" t="inlineStr">
        <is>
          <t>Bấm Hủy thì không xóa</t>
        </is>
      </c>
      <c r="E59" s="16" t="inlineStr">
        <is>
          <t>P0</t>
        </is>
      </c>
      <c r="F59" s="15" t="inlineStr">
        <is>
          <t>Đang mở hộp xác nhận xóa.</t>
        </is>
      </c>
      <c r="G59" s="15" t="inlineStr">
        <is>
          <t>1. Bấm Hủy
2. Xem lại lưới</t>
        </is>
      </c>
      <c r="H59" s="15" t="inlineStr">
        <is>
          <t>—</t>
        </is>
      </c>
      <c r="I59" s="15" t="inlineStr">
        <is>
          <t>- Hộp đóng, bản ghi vẫn còn nguyên
- Không có thông báo thành công nào</t>
        </is>
      </c>
      <c r="J59" s="15" t="inlineStr"/>
      <c r="K59" s="16" t="inlineStr">
        <is>
          <t>Not Executed</t>
        </is>
      </c>
      <c r="L59" s="16" t="inlineStr">
        <is>
          <t>Not Executed</t>
        </is>
      </c>
      <c r="M59" s="16" t="inlineStr">
        <is>
          <t>Not Executed</t>
        </is>
      </c>
      <c r="N59" s="15" t="inlineStr"/>
      <c r="O59" s="16" t="inlineStr"/>
      <c r="P59" s="16" t="inlineStr"/>
      <c r="Q59" s="16" t="inlineStr"/>
    </row>
    <row r="60" ht="34" customHeight="1">
      <c r="A60" s="15" t="inlineStr">
        <is>
          <t>Danh mục Quận/Huyện</t>
        </is>
      </c>
      <c r="B60" s="15" t="inlineStr">
        <is>
          <t>XÓA</t>
        </is>
      </c>
      <c r="C60" s="16" t="inlineStr">
        <is>
          <t>TC_05.003</t>
        </is>
      </c>
      <c r="D60" s="15" t="inlineStr">
        <is>
          <t>Xóa thành công</t>
        </is>
      </c>
      <c r="E60" s="16" t="inlineStr">
        <is>
          <t>P0</t>
        </is>
      </c>
      <c r="F60" s="15" t="inlineStr">
        <is>
          <t>Bản ghi X chưa được dùng ở đâu.</t>
        </is>
      </c>
      <c r="G60" s="15" t="inlineStr">
        <is>
          <t>1. Bấm thùng rác ở dòng X
2. Bấm Xóa xác nhận
3. Xem lưới</t>
        </is>
      </c>
      <c r="H60" s="15" t="inlineStr">
        <is>
          <t>—</t>
        </is>
      </c>
      <c r="I60" s="15" t="inlineStr">
        <is>
          <t>- Thông báo xóa thành công
- Bản ghi X biến mất khỏi danh sách</t>
        </is>
      </c>
      <c r="J60" s="15" t="inlineStr"/>
      <c r="K60" s="16" t="inlineStr">
        <is>
          <t>Not Executed</t>
        </is>
      </c>
      <c r="L60" s="16" t="inlineStr">
        <is>
          <t>Not Executed</t>
        </is>
      </c>
      <c r="M60" s="16" t="inlineStr">
        <is>
          <t>Not Executed</t>
        </is>
      </c>
      <c r="N60" s="15" t="inlineStr"/>
      <c r="O60" s="16" t="inlineStr"/>
      <c r="P60" s="16" t="inlineStr"/>
      <c r="Q60" s="16" t="inlineStr"/>
    </row>
    <row r="61" ht="34" customHeight="1">
      <c r="A61" s="15" t="inlineStr">
        <is>
          <t>Danh mục Quận/Huyện</t>
        </is>
      </c>
      <c r="B61" s="15" t="inlineStr">
        <is>
          <t>XÓA</t>
        </is>
      </c>
      <c r="C61" s="16" t="inlineStr">
        <is>
          <t>TC_05.004</t>
        </is>
      </c>
      <c r="D61" s="15" t="inlineStr">
        <is>
          <t>Xóa bản ghi đang được dùng</t>
        </is>
      </c>
      <c r="E61" s="16" t="inlineStr">
        <is>
          <t>P0</t>
        </is>
      </c>
      <c r="F61" s="15" t="inlineStr">
        <is>
          <t>Bản ghi X đang được cấp địa chỉ bên dưới hoặc dữ liệu nghiệp vụ khác tham chiếu.</t>
        </is>
      </c>
      <c r="G61" s="15" t="inlineStr">
        <is>
          <t>1. Bấm thùng rác ở dòng X
2. Bấm Xóa xác nhận</t>
        </is>
      </c>
      <c r="H61" s="15" t="inlineStr">
        <is>
          <t>—</t>
        </is>
      </c>
      <c r="I61" s="15" t="inlineStr">
        <is>
          <t>- Hệ thống từ chối và nêu lý do
- Bản ghi X vẫn còn trong danh sách</t>
        </is>
      </c>
      <c r="J61" s="15" t="inlineStr"/>
      <c r="K61" s="16" t="inlineStr">
        <is>
          <t>Not Executed</t>
        </is>
      </c>
      <c r="L61" s="16" t="inlineStr">
        <is>
          <t>Not Executed</t>
        </is>
      </c>
      <c r="M61" s="16" t="inlineStr">
        <is>
          <t>Not Executed</t>
        </is>
      </c>
      <c r="N61" s="15" t="inlineStr"/>
      <c r="O61" s="16" t="inlineStr"/>
      <c r="P61" s="16" t="inlineStr"/>
      <c r="Q61" s="16" t="inlineStr"/>
    </row>
    <row r="62" ht="38" customHeight="1">
      <c r="A62" s="15" t="inlineStr">
        <is>
          <t>Danh mục Quận/Huyện</t>
        </is>
      </c>
      <c r="B62" s="15" t="inlineStr">
        <is>
          <t>XÓA</t>
        </is>
      </c>
      <c r="C62" s="16" t="inlineStr">
        <is>
          <t>TC_05.005</t>
        </is>
      </c>
      <c r="D62" s="15" t="inlineStr">
        <is>
          <t>Xóa là ngừng sử dụng, không mất dữ liệu</t>
        </is>
      </c>
      <c r="E62" s="16" t="inlineStr">
        <is>
          <t>P1</t>
        </is>
      </c>
      <c r="F62" s="15" t="inlineStr">
        <is>
          <t>Bản ghi X vừa bị xóa khỏi danh sách.</t>
        </is>
      </c>
      <c r="G62" s="15" t="inlineStr">
        <is>
          <t>1. Kiểm tra các bản ghi cấp dưới hoặc chứng từ từng dùng X
2. Ghi nhận X còn hiển thị đúng tên ở những nơi đó không</t>
        </is>
      </c>
      <c r="H62" s="15" t="inlineStr">
        <is>
          <t>—</t>
        </is>
      </c>
      <c r="I62" s="15" t="inlineStr">
        <is>
          <t>- ⚠️ Dữ liệu cũ tham chiếu tới X KHÔNG bị mất tên
- X chỉ không còn chọn được ở lần nhập mới</t>
        </is>
      </c>
      <c r="J62" s="15" t="inlineStr"/>
      <c r="K62" s="16" t="inlineStr">
        <is>
          <t>Not Executed</t>
        </is>
      </c>
      <c r="L62" s="16" t="inlineStr">
        <is>
          <t>Not Executed</t>
        </is>
      </c>
      <c r="M62" s="16" t="inlineStr">
        <is>
          <t>Not Executed</t>
        </is>
      </c>
      <c r="N62" s="15" t="inlineStr"/>
      <c r="O62" s="16" t="inlineStr"/>
      <c r="P62" s="16" t="inlineStr"/>
      <c r="Q62" s="16" t="inlineStr"/>
    </row>
    <row r="63" ht="26" customHeight="1">
      <c r="A63" s="13" t="n"/>
      <c r="B63" s="13" t="n"/>
      <c r="C63" s="14" t="inlineStr">
        <is>
          <t>VI. LỊCH SỬ THAY ĐỔI</t>
        </is>
      </c>
      <c r="D63" s="4" t="n"/>
      <c r="E63" s="4" t="n"/>
      <c r="F63" s="4" t="n"/>
      <c r="G63" s="4" t="n"/>
      <c r="H63" s="4" t="n"/>
      <c r="I63" s="4" t="n"/>
      <c r="J63" s="4" t="n"/>
      <c r="K63" s="4" t="n"/>
      <c r="L63" s="4" t="n"/>
      <c r="M63" s="4" t="n"/>
      <c r="N63" s="4" t="n"/>
      <c r="O63" s="4" t="n"/>
      <c r="P63" s="4" t="n"/>
      <c r="Q63" s="5" t="n"/>
    </row>
    <row r="64" ht="35" customHeight="1">
      <c r="A64" s="15" t="inlineStr">
        <is>
          <t>Danh mục Quận/Huyện</t>
        </is>
      </c>
      <c r="B64" s="15" t="inlineStr">
        <is>
          <t>LỊCH SỬ THAY ĐỔI</t>
        </is>
      </c>
      <c r="C64" s="16" t="inlineStr">
        <is>
          <t>TC_06.001</t>
        </is>
      </c>
      <c r="D64" s="15" t="inlineStr">
        <is>
          <t>Mở cửa sổ Lịch sử</t>
        </is>
      </c>
      <c r="E64" s="16" t="inlineStr">
        <is>
          <t>P0</t>
        </is>
      </c>
      <c r="F64" s="15" t="inlineStr">
        <is>
          <t>Bản ghi X đã được sửa ít nhất 1 lần.</t>
        </is>
      </c>
      <c r="G64" s="15" t="inlineStr">
        <is>
          <t>1. Mở Lịch sử của X từ cột Hành động
2. Quan sát cửa sổ</t>
        </is>
      </c>
      <c r="H64" s="15" t="inlineStr">
        <is>
          <t>—</t>
        </is>
      </c>
      <c r="I64" s="15" t="inlineStr">
        <is>
          <t>- Cửa sổ "Lịch sử thay đổi" mở ra
- Dòng phụ ghi rõ loại đối tượng và tên X
- Có bộ lọc riêng trong cửa sổ</t>
        </is>
      </c>
      <c r="J64" s="15" t="inlineStr"/>
      <c r="K64" s="16" t="inlineStr">
        <is>
          <t>Not Executed</t>
        </is>
      </c>
      <c r="L64" s="16" t="inlineStr">
        <is>
          <t>Not Executed</t>
        </is>
      </c>
      <c r="M64" s="16" t="inlineStr">
        <is>
          <t>Not Executed</t>
        </is>
      </c>
      <c r="N64" s="15" t="inlineStr"/>
      <c r="O64" s="16" t="inlineStr"/>
      <c r="P64" s="16" t="inlineStr"/>
      <c r="Q64" s="16" t="inlineStr"/>
    </row>
    <row r="65" ht="34" customHeight="1">
      <c r="A65" s="15" t="inlineStr">
        <is>
          <t>Danh mục Quận/Huyện</t>
        </is>
      </c>
      <c r="B65" s="15" t="inlineStr">
        <is>
          <t>LỊCH SỬ THAY ĐỔI</t>
        </is>
      </c>
      <c r="C65" s="16" t="inlineStr">
        <is>
          <t>TC_06.002</t>
        </is>
      </c>
      <c r="D65" s="15" t="inlineStr">
        <is>
          <t>Thứ tự mới nhất ở trên cùng</t>
        </is>
      </c>
      <c r="E65" s="16" t="inlineStr">
        <is>
          <t>P0</t>
        </is>
      </c>
      <c r="F65" s="15" t="inlineStr">
        <is>
          <t>Bản ghi X đã được sửa 3 lần vào 3 thời điểm khác nhau.</t>
        </is>
      </c>
      <c r="G65" s="15" t="inlineStr">
        <is>
          <t>1. Mở Lịch sử của X
2. Đọc thời điểm của 3 dòng từ trên xuống</t>
        </is>
      </c>
      <c r="H65" s="15" t="inlineStr">
        <is>
          <t>—</t>
        </is>
      </c>
      <c r="I65" s="15" t="inlineStr">
        <is>
          <t>- ⚠️ Dòng trên cùng là lần sửa MỚI NHẤT</t>
        </is>
      </c>
      <c r="J65" s="15" t="inlineStr"/>
      <c r="K65" s="16" t="inlineStr">
        <is>
          <t>Not Executed</t>
        </is>
      </c>
      <c r="L65" s="16" t="inlineStr">
        <is>
          <t>Not Executed</t>
        </is>
      </c>
      <c r="M65" s="16" t="inlineStr">
        <is>
          <t>Not Executed</t>
        </is>
      </c>
      <c r="N65" s="15" t="inlineStr"/>
      <c r="O65" s="16" t="inlineStr"/>
      <c r="P65" s="16" t="inlineStr"/>
      <c r="Q65" s="16" t="inlineStr"/>
    </row>
    <row r="66" ht="34" customHeight="1">
      <c r="A66" s="15" t="inlineStr">
        <is>
          <t>Danh mục Quận/Huyện</t>
        </is>
      </c>
      <c r="B66" s="15" t="inlineStr">
        <is>
          <t>LỊCH SỬ THAY ĐỔI</t>
        </is>
      </c>
      <c r="C66" s="16" t="inlineStr">
        <is>
          <t>TC_06.003</t>
        </is>
      </c>
      <c r="D66" s="15" t="inlineStr">
        <is>
          <t>Mỗi dòng nêu đủ thông tin</t>
        </is>
      </c>
      <c r="E66" s="16" t="inlineStr">
        <is>
          <t>P0</t>
        </is>
      </c>
      <c r="F66" s="15" t="inlineStr">
        <is>
          <t>Vừa đổi tên bản ghi X từ "A" thành "B".</t>
        </is>
      </c>
      <c r="G66" s="15" t="inlineStr">
        <is>
          <t>1. Mở Lịch sử của X
2. Đọc dòng trên cùng</t>
        </is>
      </c>
      <c r="H66" s="15" t="inlineStr">
        <is>
          <t>—</t>
        </is>
      </c>
      <c r="I66" s="15" t="inlineStr">
        <is>
          <t>- Nêu rõ trường đã đổi, giá trị cũ "A", giá trị mới "B"
- Kèm tên người thực hiện và thời điểm tới phút</t>
        </is>
      </c>
      <c r="J66" s="15" t="inlineStr"/>
      <c r="K66" s="16" t="inlineStr">
        <is>
          <t>Not Executed</t>
        </is>
      </c>
      <c r="L66" s="16" t="inlineStr">
        <is>
          <t>Not Executed</t>
        </is>
      </c>
      <c r="M66" s="16" t="inlineStr">
        <is>
          <t>Not Executed</t>
        </is>
      </c>
      <c r="N66" s="15" t="inlineStr"/>
      <c r="O66" s="16" t="inlineStr"/>
      <c r="P66" s="16" t="inlineStr"/>
      <c r="Q66" s="16" t="inlineStr"/>
    </row>
    <row r="67" ht="34" customHeight="1">
      <c r="A67" s="15" t="inlineStr">
        <is>
          <t>Danh mục Quận/Huyện</t>
        </is>
      </c>
      <c r="B67" s="15" t="inlineStr">
        <is>
          <t>LỊCH SỬ THAY ĐỔI</t>
        </is>
      </c>
      <c r="C67" s="16" t="inlineStr">
        <is>
          <t>TC_06.004</t>
        </is>
      </c>
      <c r="D67" s="15" t="inlineStr">
        <is>
          <t>Bản ghi chưa từng sửa</t>
        </is>
      </c>
      <c r="E67" s="16" t="inlineStr">
        <is>
          <t>P1</t>
        </is>
      </c>
      <c r="F67" s="15" t="inlineStr">
        <is>
          <t>Bản ghi Y vừa được tạo, chưa sửa lần nào.</t>
        </is>
      </c>
      <c r="G67" s="15" t="inlineStr">
        <is>
          <t>1. Mở Lịch sử của Y</t>
        </is>
      </c>
      <c r="H67" s="15" t="inlineStr">
        <is>
          <t>—</t>
        </is>
      </c>
      <c r="I67" s="15" t="inlineStr">
        <is>
          <t>- Cửa sổ hiện "Chưa có lịch sử thao tác nào."
- Không báo lỗi, không hiện cửa sổ trắng trơn</t>
        </is>
      </c>
      <c r="J67" s="15" t="inlineStr"/>
      <c r="K67" s="16" t="inlineStr">
        <is>
          <t>Not Executed</t>
        </is>
      </c>
      <c r="L67" s="16" t="inlineStr">
        <is>
          <t>Not Executed</t>
        </is>
      </c>
      <c r="M67" s="16" t="inlineStr">
        <is>
          <t>Not Executed</t>
        </is>
      </c>
      <c r="N67" s="15" t="inlineStr"/>
      <c r="O67" s="16" t="inlineStr"/>
      <c r="P67" s="16" t="inlineStr"/>
      <c r="Q67" s="16" t="inlineStr"/>
    </row>
    <row r="68" ht="34" customHeight="1">
      <c r="A68" s="15" t="inlineStr">
        <is>
          <t>Danh mục Quận/Huyện</t>
        </is>
      </c>
      <c r="B68" s="15" t="inlineStr">
        <is>
          <t>LỊCH SỬ THAY ĐỔI</t>
        </is>
      </c>
      <c r="C68" s="16" t="inlineStr">
        <is>
          <t>TC_06.005</t>
        </is>
      </c>
      <c r="D68" s="15" t="inlineStr">
        <is>
          <t>Đóng cửa sổ Lịch sử</t>
        </is>
      </c>
      <c r="E68" s="16" t="inlineStr">
        <is>
          <t>P2</t>
        </is>
      </c>
      <c r="F68" s="15" t="inlineStr">
        <is>
          <t>Đang mở cửa sổ Lịch sử, danh sách phía sau đang lọc và ở trang 2.</t>
        </is>
      </c>
      <c r="G68" s="15" t="inlineStr">
        <is>
          <t>1. Bấm Đóng</t>
        </is>
      </c>
      <c r="H68" s="15" t="inlineStr">
        <is>
          <t>—</t>
        </is>
      </c>
      <c r="I68" s="15" t="inlineStr">
        <is>
          <t>- Cửa sổ đóng, danh sách giữ nguyên bộ lọc và trang 2</t>
        </is>
      </c>
      <c r="J68" s="15" t="inlineStr"/>
      <c r="K68" s="16" t="inlineStr">
        <is>
          <t>Not Executed</t>
        </is>
      </c>
      <c r="L68" s="16" t="inlineStr">
        <is>
          <t>Not Executed</t>
        </is>
      </c>
      <c r="M68" s="16" t="inlineStr">
        <is>
          <t>Not Executed</t>
        </is>
      </c>
      <c r="N68" s="15" t="inlineStr"/>
      <c r="O68" s="16" t="inlineStr"/>
      <c r="P68" s="16" t="inlineStr"/>
      <c r="Q68" s="16" t="inlineStr"/>
    </row>
    <row r="69" ht="43" customHeight="1">
      <c r="A69" s="15" t="inlineStr">
        <is>
          <t>Danh mục Quận/Huyện</t>
        </is>
      </c>
      <c r="B69" s="15" t="inlineStr">
        <is>
          <t>LỊCH SỬ THAY ĐỔI</t>
        </is>
      </c>
      <c r="C69" s="16" t="inlineStr">
        <is>
          <t>TC_06.006</t>
        </is>
      </c>
      <c r="D69" s="15" t="inlineStr">
        <is>
          <t>Giá trị trường tham chiếu trong lịch sử</t>
        </is>
      </c>
      <c r="E69" s="16" t="inlineStr">
        <is>
          <t>P1</t>
        </is>
      </c>
      <c r="F69" s="15" t="inlineStr">
        <is>
          <t>Vừa đổi Tỉnh/TP của một bản ghi.</t>
        </is>
      </c>
      <c r="G69" s="15" t="inlineStr">
        <is>
          <t>1. Mở Lịch sử của bản ghi đó
2. Đọc giá trị cũ và giá trị mới</t>
        </is>
      </c>
      <c r="H69" s="15" t="inlineStr">
        <is>
          <t>—</t>
        </is>
      </c>
      <c r="I69" s="15" t="inlineStr">
        <is>
          <t>- ⚠️ Hiện tại đang hiện SỐ ĐỊNH DANH thay vì tên Tỉnh/TP — đây là lỗi hiển thị đã ghi nhận
- Sau khi sửa, phải hiện TÊN của Tỉnh/TP</t>
        </is>
      </c>
      <c r="J69" s="15" t="inlineStr"/>
      <c r="K69" s="16" t="inlineStr">
        <is>
          <t>Not Executed</t>
        </is>
      </c>
      <c r="L69" s="16" t="inlineStr">
        <is>
          <t>Not Executed</t>
        </is>
      </c>
      <c r="M69" s="16" t="inlineStr">
        <is>
          <t>Not Executed</t>
        </is>
      </c>
      <c r="N69" s="15" t="inlineStr"/>
      <c r="O69" s="16" t="inlineStr"/>
      <c r="P69" s="16" t="inlineStr"/>
      <c r="Q69" s="16" t="inlineStr"/>
    </row>
  </sheetData>
  <mergeCells count="38">
    <mergeCell ref="C29:Q29"/>
    <mergeCell ref="C63:Q63"/>
    <mergeCell ref="B9:N9"/>
    <mergeCell ref="I15:J15"/>
    <mergeCell ref="K15:L15"/>
    <mergeCell ref="A11:E11"/>
    <mergeCell ref="I11:J11"/>
    <mergeCell ref="B6:N6"/>
    <mergeCell ref="A1:N1"/>
    <mergeCell ref="B5:N5"/>
    <mergeCell ref="K11:L11"/>
    <mergeCell ref="M11:N11"/>
    <mergeCell ref="B4:N4"/>
    <mergeCell ref="O12:Q12"/>
    <mergeCell ref="B7:N7"/>
    <mergeCell ref="C39:Q39"/>
    <mergeCell ref="B3:N3"/>
    <mergeCell ref="O11:Q11"/>
    <mergeCell ref="M13:N13"/>
    <mergeCell ref="I12:J12"/>
    <mergeCell ref="O14:Q14"/>
    <mergeCell ref="M15:N15"/>
    <mergeCell ref="K12:L12"/>
    <mergeCell ref="M12:N12"/>
    <mergeCell ref="O13:Q13"/>
    <mergeCell ref="C57:Q57"/>
    <mergeCell ref="I14:J14"/>
    <mergeCell ref="C18:Q18"/>
    <mergeCell ref="K14:L14"/>
    <mergeCell ref="B2:N2"/>
    <mergeCell ref="C49:Q49"/>
    <mergeCell ref="O15:Q15"/>
    <mergeCell ref="B8:N8"/>
    <mergeCell ref="M14:N14"/>
    <mergeCell ref="I13:J13"/>
    <mergeCell ref="F11:H15"/>
    <mergeCell ref="K13:L13"/>
    <mergeCell ref="B10:N10"/>
  </mergeCells>
  <dataValidations count="2">
    <dataValidation sqref="K18:M119" showDropDown="0" showInputMessage="0" showErrorMessage="0" allowBlank="1" type="list">
      <formula1>"Passed,Failed,Pending,Not Executed"</formula1>
    </dataValidation>
    <dataValidation sqref="O18:Q119" showDropDown="0" showInputMessage="0" showErrorMessage="0" allowBlank="1" type="list">
      <formula1>"P,F,PE"</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2026-08-17T09:09:18Z</dcterms:created>
  <dcterms:modified xmlns:dcterms="http://purl.org/dc/terms/" xmlns:xsi="http://www.w3.org/2001/XMLSchema-instance" xsi:type="dcterms:W3CDTF">2026-08-17T09:09:18Z</dcterms:modified>
</cp:coreProperties>
</file>