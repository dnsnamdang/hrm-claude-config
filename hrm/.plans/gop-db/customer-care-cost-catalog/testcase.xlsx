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ompanyProject\hrm\hrm-claude-config\hrm\.plans\gop-db\customer-care-cost-catalog\"/>
    </mc:Choice>
  </mc:AlternateContent>
  <xr:revisionPtr revIDLastSave="0" documentId="13_ncr:1_{A18284BE-4F9E-4B76-AA4C-C52171F0A72D}" xr6:coauthVersionLast="47" xr6:coauthVersionMax="47" xr10:uidLastSave="{00000000-0000-0000-0000-000000000000}"/>
  <bookViews>
    <workbookView xWindow="-28920" yWindow="2055" windowWidth="29040" windowHeight="15720" xr2:uid="{00000000-000D-0000-FFFF-FFFF00000000}"/>
  </bookViews>
  <sheets>
    <sheet name="Trang tính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1" l="1"/>
  <c r="K15" i="1"/>
  <c r="O14" i="1"/>
  <c r="K14" i="1"/>
  <c r="O13" i="1"/>
  <c r="K13" i="1"/>
  <c r="O12" i="1"/>
  <c r="K12" i="1"/>
  <c r="O11" i="1"/>
  <c r="K11" i="1"/>
</calcChain>
</file>

<file path=xl/sharedStrings.xml><?xml version="1.0" encoding="utf-8"?>
<sst xmlns="http://schemas.openxmlformats.org/spreadsheetml/2006/main" count="1738" uniqueCount="849">
  <si>
    <t>MÔ TẢ TÍNH NĂNG (đọc trước khi xem testcase)</t>
  </si>
  <si>
    <t>1. Mục đích tính năng</t>
  </si>
  <si>
    <t>Kiểm thử TOÀN BỘ màn `Danh mục dịch vụ sửa chữa và chi phí khác` (phân hệ CSKH, đường dẫn `/customer-care/costs`): danh sách + bộ lọc + sắp xếp + phân trang, Tạo mới / Sửa / Xem trong modal, Khóa / Mở khóa, Xóa (hoặc tự chuyển sang Khóa khi đã phát sinh chứng từ), Xuất Excel, phân quyền và các ràng buộc validate.
 ► Màn này là bản chuyển từ ERP `admin/accounting/costs?kind_of=2` sang HRM. Bảng dữ liệu vẫn là bảng ERP `costs` trên DB gộp — 2 cổng dùng chung dữ liệu.</t>
  </si>
  <si>
    <t>2. Đối tượng được tính / hiển thị</t>
  </si>
  <si>
    <t>► CHỈ hiển thị bản ghi bảng `costs` có `kind_of = 2` (dịch vụ sửa chữa &amp; chi phí khác). Dữ liệu thực tế trên cổng dev: 526 dòng.
 ► 2 trạng thái: `status = 1` → pill xanh 'Hoạt động'; `status = 0` → pill đỏ 'Khóa'. ⚠️ KHÁC các danh mục khác (Tài khoản / Tiền tệ / Cấp dịch vụ dùng 1 và 2).
 ► 2 phân loại (`revenue_calculation`): `1` → 'Có tính doanh thu'; `0` → 'Chi phí khác'.
 ► Cột 'ĐM giảm giá' KHÔNG phải cột của bảng `costs` mà lấy từ bảng `company_costs` theo ĐÚNG CÔNG TY đang chọn của người đăng nhập (`current_company_role`) → cùng 1 dịch vụ, 2 công ty có thể thấy 2 mức giảm giá khác nhau; công ty chưa khai báo thì hiển thị '—'.
 ► 9 cột danh sách: STT | Tên dịch vụ / chi phí | Phân loại | ĐM giảm giá | % Tính giá vốn | % VAT | Trạng thái | Cập nhật | Hành động.</t>
  </si>
  <si>
    <t>3. Đối tượng bị ẩn / không tính</t>
  </si>
  <si>
    <t>► Bản ghi `kind_of = 1` (Chi phí phải trả / Chi phí bán hàng) KHÔNG hiện ở màn này — vẫn nằm bên ERP. Gọi thẳng API với id của bản ghi `kind_of ≠ 2` → BE trả 400 'Bản ghi không thuộc danh mục dịch vụ sửa chữa và chi phí khác'.
 ► Nút Tạo mới / Sửa / Xóa / Khóa - Mở khóa CHỈ hiện khi có quyền 'Quản lý dịch vụ sửa chữa và chi phí khác'. Người chỉ có quyền 'Xem …' chỉ thấy nút Xem và nút Xuất Excel.
 ► 2 bản ghi hệ thống có tên 'Chi phí đi lại' và 'Chi phí vận chuyển' bị chặn CỨNG THEO TÊN: không sửa, không xóa, không khóa, không mở khóa (nút hiển thị nhưng bị disable).
 ► Dòng đang ở trạng thái Khóa: nút Sửa và nút Xóa bị disable (phải Mở khóa trước).
 ► Màn Tạo mới KHÔNG có ô 'Trạng thái' (hệ thống luôn set Hoạt động); ô này chỉ xuất hiện ở màn Sửa.
 ► Nút 'Lưu &amp; Tiếp tục' chỉ có ở màn Tạo mới, không có ở màn Sửa / Xem.</t>
  </si>
  <si>
    <t>4. Bộ lọc thời gian áp dụng cho</t>
  </si>
  <si>
    <t>► Màn này KHÔNG có bộ lọc theo khoảng thời gian. Cột 'Cập nhật' chỉ để hiển thị (`updated_at` định dạng d/m/Y H:i, kèm dòng phụ 'bởi &lt;MÃ NV&gt; - &lt;Họ tên&gt;' lấy `updated_by`, nếu chưa từng sửa thì lấy `created_by`).
 ► Cột 'Cập nhật' CÓ sắp xếp được (`sort_by = updated_at`).
 ► Sắp xếp mặc định khi vào màn: `created_at` giảm dần (mới nhất lên đầu).
 ► Bộ lọc đang áp dụng được lưu vào localStorage khóa `customer_care_costs`, hết hạn sau 10 phút; quay lại màn trong 10 phút thì bộ lọc cũ được khôi phục.</t>
  </si>
  <si>
    <t>5. Cấu trúc dữ liệu / cây phân cấp</t>
  </si>
  <si>
    <t>► Danh mục PHẲNG, không có cây cha - con.
 ► Bảng chính `costs`: `id, name, type, status, kind_of, rate_value_capital, revenue_calculation, vat_percent, created_by, updated_by, created_at, updated_at`. Với `kind_of = 2` thì `type` LUÔN null.
 ► Bảng phụ `company_costs` (`company_id`, `cost_id`, `discount`) giữ 'ĐM giảm giá' theo từng công ty — quan hệ 1 dịch vụ ↔ N công ty.
 ► Bảng chứng từ tham chiếu (quyết định được xóa hẳn hay chỉ khóa): `firm_quotation_costs.cost_id` (Báo giá hãng) và `firm_contract_costs.cost_id` (Hợp đồng hãng).</t>
  </si>
  <si>
    <t>6. Quy tắc cộng dồn / deduplicate</t>
  </si>
  <si>
    <t>► KHÔNG cộng dồn — mỗi dòng là 1 bản ghi độc lập, không có ô tổng.
 ► Trùng lặp: `name` phải DUY NHẤT trong nhóm bản ghi có `type` = NULL (tức toàn bộ `kind_of = 2`). Khi Sửa thì loại trừ chính bản ghi đang sửa.
 ► `company_costs` là cặp DUY NHẤT (`company_id`, `cost_id`) — lưu bằng `updateOrCreate`, không sinh dòng trùng.
 ► Bỏ trống hoặc nhập 0 ở 'ĐM giảm giá' → hệ thống XÓA dòng `company_costs` của công ty hiện tại (KHÔNG đụng chiết khấu của công ty khác).
 ► Xóa hẳn 1 dịch vụ → xóa kèm chiết khấu của MỌI công ty; còn Khóa thì GIỮ NGUYÊN chiết khấu.</t>
  </si>
  <si>
    <t>7. Phân quyền cấp</t>
  </si>
  <si>
    <t>• 'Quản lý dịch vụ sửa chữa và chi phí khác' (permission id 1123, group 'Danh mục dịch vụ bảo dưỡng', type 24) — xem danh sách + Tạo mới / Sửa / Xóa / Khóa / Mở khóa / kiểm tra tình trạng sử dụng.
 • 'Xem dịch vụ sửa chữa và chi phí khác' (permission id 1124, cùng group) — CHỈ xem danh sách và xem chi tiết.
 • Route `GET /` và `GET /{cost}` gắn `checkPermission:Quản lý dịch vụ sửa chữa và chi phí khác|Xem dịch vụ sửa chữa và chi phí khác`; các route `POST /`, `PUT /{cost}`, `DELETE /{cost}`, `GET /{cost}/usage`, `GET /{cost}/lock`, `GET /{cost}/unlock` chỉ nhận quyền 'Quản lý …'.
 • Mục menu 'Danh mục dịch vụ sửa chữa và chi phí khác' chỉ hiện khi có 1 trong 2 quyền trên.
 • KHÔNG có phân quyền theo cấp công ty / phòng ban / bộ phận: mọi người có quyền đều thấy ĐỦ 526 dòng. Công ty đang chọn CHỈ ảnh hưởng tới giá trị cột 'ĐM giảm giá'.
 ⚠️ Quyền kiểm tra qua ROLE (`role_has_permissions`), guard `api`.</t>
  </si>
  <si>
    <t>8. Cách tính các ô thống kê</t>
  </si>
  <si>
    <t>► Màn KHÔNG có khối thống kê đầu trang. Chỉ có dòng đếm ở chân bảng:
 ► Ô 'Hiển thị a–b / N dịch vụ / chi phí': a = `meta.from`, b = `meta.to`, N = `meta.total` (tổng số bản ghi khớp bộ lọc, do server đếm).
 ► Ô '% Tính giá vốn' / '% VAT' / 'ĐM giảm giá' hiển thị = giá trị lưu, định dạng vi-VN, tối đa 2 số thập phân, bỏ số 0 thừa, gắn hậu tố '%' (80.00 → '80%'); null → '—'.
 ► File Excel xuất ra làm tròn CỐ ĐỊNH 2 chữ số thập phân (number_format(x, 2)) — khác cách hiển thị trên lưới, đây là hành vi đúng hiện trạng.</t>
  </si>
  <si>
    <t>9. Ghi chú đọc bảng</t>
  </si>
  <si>
    <t>► Toàn bộ Tạo mới / Sửa / Xem đều nằm trong 1 MODAL, không điều hướng sang trang khác.
 ► Validate hiển thị inline (viền đỏ + chữ đỏ) và đều đến từ BE (HTTP 422); FE không chặn submit trước, nên mỗi lần bấm Lưu luôn có 1 request đi.
 ► ⚠️ Ở 3 ô phần trăm, DẤU PHẨY được hiểu là DẤU THẬP PHÂN: nhập '12,5' lưu thành 12.5 (KHÔNG phải 125). Đây là chủ đích, khác màn Tiền tệ.
 ► '% Tính giá vốn' KHÔNG bị chặn trần 100 (chỉ cần ≥ 0) — dữ liệu thật đang có dòng 321%. Riêng '% VAT' và 'ĐM giảm giá' bị chặn ≤ 100.
 ► Nút Xóa: hệ thống hỏi server trước (`/usage`) rồi mới mở hộp thoại — nếu dịch vụ đã phát sinh ở Báo giá hãng / Hợp đồng hãng thì hộp thoại đổi thành 'Xác nhận khóa' và bản ghi chỉ bị chuyển trạng thái Khóa, KHÔNG bị xóa.
 ► Phân trang server-side, mặc định 10 dòng/trang, chọn được 5 / 10 / 20 / 50.</t>
  </si>
  <si>
    <t>Testcase _ Danh mục dịch vụ sửa chữa và chi phí khác - Cập nhật ngày 12/08/2026</t>
  </si>
  <si>
    <t>TEST SUMMARY</t>
  </si>
  <si>
    <t>Số trường hợp DNS kiểm thử đạt (P):</t>
  </si>
  <si>
    <t>Số trường hợp TP kiểm thử đạt (P):</t>
  </si>
  <si>
    <t>Số trường hợp DNS kiểm thử không đạt (F)</t>
  </si>
  <si>
    <t>Số trường hợp TP kiểm thử không đạt (F)</t>
  </si>
  <si>
    <t>Số trường hợp DNS kiểm thử đang xem xét (PE)</t>
  </si>
  <si>
    <t>Số trường hợp TP kiểm thử đang xem xét (PE)</t>
  </si>
  <si>
    <t>Số trường hợp DNS kiểm thử chưa thực hiện</t>
  </si>
  <si>
    <t>Số trường hợp TP kiểm thử chưa thực hiện</t>
  </si>
  <si>
    <t>Tổng số trường hợp DNS kiểm thử</t>
  </si>
  <si>
    <t>Tổng số trường hợp TP kiểm thử</t>
  </si>
  <si>
    <t>Module</t>
  </si>
  <si>
    <t>Nhóm chức năng</t>
  </si>
  <si>
    <t>TC ID</t>
  </si>
  <si>
    <t>Chức năng</t>
  </si>
  <si>
    <t>Priority</t>
  </si>
  <si>
    <t>Tiền điều kiện</t>
  </si>
  <si>
    <t>Bước thực hiện</t>
  </si>
  <si>
    <t>Test Data</t>
  </si>
  <si>
    <t>Expected Result (chi tiết)</t>
  </si>
  <si>
    <t>KQ thực tế</t>
  </si>
  <si>
    <t>DNS check lần 1</t>
  </si>
  <si>
    <t>DNS check lần 2</t>
  </si>
  <si>
    <t>DNS check lần 3</t>
  </si>
  <si>
    <t>Ghi chú</t>
  </si>
  <si>
    <t>TP check lần 1</t>
  </si>
  <si>
    <t>TP check lần 2</t>
  </si>
  <si>
    <t>TP check lần 3</t>
  </si>
  <si>
    <t>Phân quyền &amp; truy cập</t>
  </si>
  <si>
    <t>DV sửa chữa &amp; CP khác</t>
  </si>
  <si>
    <t>TC-ROLE-00</t>
  </si>
  <si>
    <t>Không có quyền nào của màn — menu và màn hình bị chặn</t>
  </si>
  <si>
    <t>P0</t>
  </si>
  <si>
    <t>Tài khoản A đăng nhập được, KHÔNG có quyền 'Quản lý dịch vụ sửa chữa và chi phí khác' và KHÔNG có quyền 'Xem dịch vụ sửa chữa và chi phí khác'</t>
  </si>
  <si>
    <t>1. Đăng nhập tài khoản A, vào phân hệ CSKH
2. Mở nhóm menu 'Danh mục - Dịch vụ'
3. Gõ thẳng URL /customer-care/costs</t>
  </si>
  <si>
    <t>User A: không có quyền nào</t>
  </si>
  <si>
    <t>- Nhóm 'Danh mục - Dịch vụ' KHÔNG có mục 'Danh mục dịch vụ sửa chữa và chi phí khác'
- Vào thẳng URL: API `GET customer-care/costs` trả 403, bảng không có dữ liệu, KHÔNG hiện toast lỗi đỏ</t>
  </si>
  <si>
    <t>Not Executed</t>
  </si>
  <si>
    <t>TC-ROLE-01</t>
  </si>
  <si>
    <t>Chỉ có quyền 'Xem dịch vụ sửa chữa và chi phí khác'</t>
  </si>
  <si>
    <t>Tài khoản B chỉ có quyền 'Xem dịch vụ sửa chữa và chi phí khác' (id 1124)</t>
  </si>
  <si>
    <t>1. Đăng nhập B, vào /customer-care/costs
2. Quan sát thanh công cụ của bảng
3. Quan sát cột Hành động và cột Trạng thái</t>
  </si>
  <si>
    <t>User B: quyền 1124</t>
  </si>
  <si>
    <t>- Vào được màn, bảng hiển thị đủ 526 dòng, bộ lọc dùng bình thường
- Thanh công cụ CHỈ có nút 'Xuất Excel', KHÔNG có nút 'Tạo mới'
- Cột Hành động CHỈ có nút 'Xem'; không có nút Sửa, không có nút Xóa
- Cột Trạng thái chỉ có pill, KHÔNG có nút ổ khóa</t>
  </si>
  <si>
    <t>TC-ROLE-02</t>
  </si>
  <si>
    <t>Có quyền 'Quản lý dịch vụ sửa chữa và chi phí khác'</t>
  </si>
  <si>
    <t>Tài khoản C có quyền 'Quản lý dịch vụ sửa chữa và chi phí khác' (id 1123)</t>
  </si>
  <si>
    <t>1. Đăng nhập C, vào /customer-care/costs
2. Quan sát thanh công cụ, cột Hành động, cột Trạng thái</t>
  </si>
  <si>
    <t>User C: quyền 1123</t>
  </si>
  <si>
    <t>- Thanh công cụ có đủ 'Tạo mới' + 'Xuất Excel'
- Cột Hành động có đủ 3 nút: Xem, Sửa, Xóa
- Cột Trạng thái có nút ổ khóa (Khóa / Mở khóa)</t>
  </si>
  <si>
    <t>TC-ROLE-03</t>
  </si>
  <si>
    <t>Chỉ quyền Xem — bấm nút Xem vẫn mở được chi tiết</t>
  </si>
  <si>
    <t>Tài khoản B (chỉ quyền 1124); danh sách có ≥ 1 dịch vụ</t>
  </si>
  <si>
    <t>1. Đăng nhập B
2. Bấm nút Xem ở 1 dòng bất kỳ</t>
  </si>
  <si>
    <t>User B; dịch vụ 'Dịch vụ đánh bóng xy lanh'</t>
  </si>
  <si>
    <t>- API `GET customer-care/costs/{id}` trả 200
- Modal 'Xem dịch vụ / chi phí' mở ra, mọi ô đều mờ (disabled), chỉ có nút 'Đóng'</t>
  </si>
  <si>
    <t>TC-ROLE-04</t>
  </si>
  <si>
    <t>Chỉ quyền Xem — gọi thẳng API Tạo mới bị chặn</t>
  </si>
  <si>
    <t>Tài khoản B (chỉ quyền 1124), có JWT hợp lệ</t>
  </si>
  <si>
    <t>1. Dùng Postman gọi POST /api/v1/customer-care/costs với payload hợp lệ
2. Kiểm tra lại danh sách</t>
  </si>
  <si>
    <t>POST customer-care/costs; body {name:'TC bypass', rate_value_capital:10, vat_percent:8}</t>
  </si>
  <si>
    <t>- BE trả 403 Forbidden
- KHÔNG có bản ghi mới nào được tạo trong bảng `costs`</t>
  </si>
  <si>
    <t>TC-ROLE-05</t>
  </si>
  <si>
    <t>Chỉ quyền Xem — gọi thẳng API Sửa bị chặn</t>
  </si>
  <si>
    <t>Tài khoản B (chỉ quyền 1124); tồn tại dịch vụ id = X đang Hoạt động</t>
  </si>
  <si>
    <t>1. Postman gọi PUT /api/v1/customer-care/costs/{X}
2. Đối chiếu bản ghi trong DB</t>
  </si>
  <si>
    <t>PUT customer-care/costs/{X}</t>
  </si>
  <si>
    <t>- BE trả 403 Forbidden
- Bản ghi X giữ nguyên mọi trường, `updated_at` không đổi</t>
  </si>
  <si>
    <t>TC-ROLE-06</t>
  </si>
  <si>
    <t>Chỉ quyền Xem — gọi thẳng API Xóa / Khóa / Mở khóa bị chặn</t>
  </si>
  <si>
    <t>Tài khoản B (chỉ quyền 1124); dịch vụ id = X đang Hoạt động</t>
  </si>
  <si>
    <t>1. Postman gọi lần lượt: DELETE /customer-care/costs/{X}, GET /customer-care/costs/{X}/lock, GET /customer-care/costs/{X}/unlock, GET /customer-care/costs/{X}/usage</t>
  </si>
  <si>
    <t>4 request, cùng JWT của B</t>
  </si>
  <si>
    <t>- CẢ 4 request đều trả 403 Forbidden
- Bản ghi X vẫn còn và vẫn ở trạng thái Hoạt động</t>
  </si>
  <si>
    <t>TC-ROLE-07</t>
  </si>
  <si>
    <t>Không có quyền nào — gọi thẳng API danh sách và chi tiết</t>
  </si>
  <si>
    <t>Tài khoản A (không có quyền nào của màn), JWT hợp lệ</t>
  </si>
  <si>
    <t>1. Postman gọi GET /api/v1/customer-care/costs
2. Gọi GET /api/v1/customer-care/costs/{X}</t>
  </si>
  <si>
    <t>GET danh sách + GET chi tiết</t>
  </si>
  <si>
    <t>- Cả 2 request trả 403 Forbidden
- Response KHÔNG lộ bất kỳ trường dữ liệu nào của danh mục</t>
  </si>
  <si>
    <t>TC-ROLE-08</t>
  </si>
  <si>
    <t>Chiết khấu hiển thị theo công ty đang chọn của người đăng nhập</t>
  </si>
  <si>
    <t>Dịch vụ 'Dịch vụ đánh bóng xy lanh' có `company_costs`: công ty 1 → discount 5, công ty 4 → discount 12. User C thuộc công ty 1, User D thuộc công ty 4, cả 2 đều có quyền 1123</t>
  </si>
  <si>
    <t>1. Đăng nhập C, xem cột 'ĐM giảm giá' của dòng đó
2. Đăng nhập D, xem lại cùng dòng đó</t>
  </si>
  <si>
    <t>current_company_role: C = 1, D = 4</t>
  </si>
  <si>
    <t>- User C thấy '5%'
- User D thấy '12%'
- Cùng 1 bản ghi nhưng 2 người thấy 2 giá trị khác nhau — đây là hành vi đúng, không phải bug</t>
  </si>
  <si>
    <t>TC-ROLE-09</t>
  </si>
  <si>
    <t>Công ty chưa khai báo chiết khấu — hiển thị gạch ngang</t>
  </si>
  <si>
    <t>P1</t>
  </si>
  <si>
    <t>Dịch vụ 'Hướng dẫn, bàn giao máy hàn rút tồn' KHÔNG có dòng nào trong `company_costs` cho công ty của user</t>
  </si>
  <si>
    <t>1. Đăng nhập, xem cột 'ĐM giảm giá' của dòng đó</t>
  </si>
  <si>
    <t>cost_id không có trong company_costs</t>
  </si>
  <si>
    <t>- Cột 'ĐM giảm giá' hiển thị '—'
- Không hiển thị 0% và không lỗi</t>
  </si>
  <si>
    <t>I. HIỂN THỊ TRANG &amp; TRUY CẬP</t>
  </si>
  <si>
    <t>HIỂN THỊ TRANG &amp; TRUY CẬP</t>
  </si>
  <si>
    <t>TC_01.001</t>
  </si>
  <si>
    <t>Truy cập màn hình từ menu</t>
  </si>
  <si>
    <t>User C có quyền 'Quản lý dịch vụ sửa chữa và chi phí khác'</t>
  </si>
  <si>
    <t>1. Vào phân hệ CSKH
2. Bấm nhóm menu 'Danh mục - Dịch vụ'
3. Bấm 'Danh mục dịch vụ sửa chữa và chi phí khác'</t>
  </si>
  <si>
    <t>User C</t>
  </si>
  <si>
    <t>- Điều hướng tới /customer-care/costs
- Tiêu đề trang (thanh trên) = 'Danh mục dịch vụ sửa chữa và chi phí khác'</t>
  </si>
  <si>
    <t>TC_01.002</t>
  </si>
  <si>
    <t>Bố cục trang khi load lần đầu</t>
  </si>
  <si>
    <t>User C truy cập lần đầu (localStorage chưa có khóa `customer_care_costs`)</t>
  </si>
  <si>
    <t>1. Truy cập /customer-care/costs
2. Quan sát bố cục</t>
  </si>
  <si>
    <t>—</t>
  </si>
  <si>
    <t>- Trang có 2 khối: panel 'Bộ lọc dịch vụ sửa chữa và chi phí khác' + bảng danh sách
- Panel bộ lọc nâng cao ở trạng thái THU GỌN, chỉ hiện ô tìm nhanh + nút 'Tìm kiếm' + 'Làm mới'
- KHÔNG có khối thống kê / stats đầu trang</t>
  </si>
  <si>
    <t>TC_01.003</t>
  </si>
  <si>
    <t>Hiển thị đủ và đúng thứ tự các cột</t>
  </si>
  <si>
    <t>Danh sách có ≥ 1 dịch vụ</t>
  </si>
  <si>
    <t>1. Truy cập danh sách
2. Đọc tiêu đề từng cột từ trái sang phải</t>
  </si>
  <si>
    <t>- Đúng 9 cột theo thứ tự: STT | Tên dịch vụ / chi phí | Phân loại | ĐM giảm giá | % Tính giá vốn | % VAT | Trạng thái | Cập nhật | Hành động
- Cột STT và cột Tên dính (sticky) khi cuộn ngang</t>
  </si>
  <si>
    <t>TC_01.004</t>
  </si>
  <si>
    <t>Icon sắp xếp chỉ có ở đúng 6 cột</t>
  </si>
  <si>
    <t>Đang ở màn danh sách</t>
  </si>
  <si>
    <t>1. Quan sát icon 2 mũi tên trên từng tiêu đề cột</t>
  </si>
  <si>
    <t>- CÓ icon sắp xếp ở: Tên dịch vụ / chi phí, ĐM giảm giá, % Tính giá vốn, % VAT, Trạng thái, Cập nhật
- KHÔNG có icon sắp xếp ở: STT, Phân loại, Hành động</t>
  </si>
  <si>
    <t>TC_01.005</t>
  </si>
  <si>
    <t>Pill Trạng thái Hoạt động / Khóa</t>
  </si>
  <si>
    <t>Danh sách có dịch vụ `status = 1` và dịch vụ `status = 0` (vd 'test01111' đang Khóa)</t>
  </si>
  <si>
    <t>1. Quan sát cột Trạng thái của 2 dòng đó</t>
  </si>
  <si>
    <t>cost A status=1; cost B status=0</t>
  </si>
  <si>
    <t>- Dòng A: pill xanh 'Hoạt động' kèm icon tích tròn
- Dòng B: pill đỏ 'Khóa' kèm icon ổ khóa</t>
  </si>
  <si>
    <t>TC_01.006</t>
  </si>
  <si>
    <t>Pill Phân loại theo revenue_calculation</t>
  </si>
  <si>
    <t>Danh sách có dịch vụ `revenue_calculation = 1` và dịch vụ `= 0`</t>
  </si>
  <si>
    <t>1. Quan sát cột Phân loại</t>
  </si>
  <si>
    <t>'Trang test' = 1; 'test01111' = 0</t>
  </si>
  <si>
    <t>- `= 1` → pill xanh 'Có tính doanh thu' (icon biểu đồ)
- `= 0` → pill đỏ 'Chi phí khác' (icon nhãn giá)</t>
  </si>
  <si>
    <t>TC_01.007</t>
  </si>
  <si>
    <t>Cột Cập nhật hiển thị thời điểm và người sửa</t>
  </si>
  <si>
    <t>Dịch vụ X đã từng được sửa bởi NV '10410008 - Cao Đình Hòe' lúc 16/07/2026 15:12</t>
  </si>
  <si>
    <t>1. Quan sát cột Cập nhật của dòng X</t>
  </si>
  <si>
    <t>updated_at=16/07/2026 15:12, updated_by=10410008</t>
  </si>
  <si>
    <t>- Dòng trên: '16/07/2026 15:12'
- Dòng dưới: 'bởi 10410008 - Cao Đình Hòe' (in đậm phần tên)</t>
  </si>
  <si>
    <t>TC_01.008</t>
  </si>
  <si>
    <t>Bản ghi chưa từng sửa — cột Cập nhật lấy người tạo</t>
  </si>
  <si>
    <t>Dịch vụ Y có `updated_by = NULL`, `created_by` = NV 'DNS01 - DNS Admin'</t>
  </si>
  <si>
    <t>1. Quan sát cột Cập nhật của dòng Y</t>
  </si>
  <si>
    <t>updated_by = null</t>
  </si>
  <si>
    <t>- Vẫn hiển thị 'bởi DNS01 - DNS Admin' (lấy theo người tạo), không để trống</t>
  </si>
  <si>
    <t>TC_01.009</t>
  </si>
  <si>
    <t>Định dạng phần trăm — bỏ số 0 thừa</t>
  </si>
  <si>
    <t>Dịch vụ có `rate_value_capital = 80.00`, `vat_percent = 8.00`</t>
  </si>
  <si>
    <t>1. Quan sát cột '% Tính giá vốn' và '% VAT'</t>
  </si>
  <si>
    <t>80.00 / 8.00</t>
  </si>
  <si>
    <t>- Hiển thị '80%' và '8%' (KHÔNG phải '80.00%')</t>
  </si>
  <si>
    <t>TC_01.010</t>
  </si>
  <si>
    <t>Giá trị null hiển thị gạch ngang</t>
  </si>
  <si>
    <t>Dịch vụ có `discount` null</t>
  </si>
  <si>
    <t>1. Quan sát cột 'ĐM giảm giá'</t>
  </si>
  <si>
    <t>discount = null</t>
  </si>
  <si>
    <t>- Hiển thị '—', không hiển thị 0% và không để trống</t>
  </si>
  <si>
    <t>TC_01.011</t>
  </si>
  <si>
    <t>Danh sách rỗng khi bộ lọc không khớp</t>
  </si>
  <si>
    <t>Danh sách có dữ liệu</t>
  </si>
  <si>
    <t>1. Nhập từ khóa 'ZZZZZ999' vào ô tìm nhanh
2. Bấm 'Tìm kiếm'</t>
  </si>
  <si>
    <t>keyword = ZZZZZ999</t>
  </si>
  <si>
    <t>- Bảng hiển thị dòng 'Không có dữ liệu phù hợp bộ lọc.'
- Không lỗi, không crash</t>
  </si>
  <si>
    <t>TC_01.012</t>
  </si>
  <si>
    <t>Khôi phục bộ lọc từ localStorage trong 10 phút</t>
  </si>
  <si>
    <t>P2</t>
  </si>
  <si>
    <t>Đã lọc Trạng thái = Khóa, sau đó rời màn sang màn khác</t>
  </si>
  <si>
    <t>1. Quay lại /customer-care/costs trong vòng 10 phút
2. Mở bộ lọc nâng cao</t>
  </si>
  <si>
    <t>localStorage key `customer_care_costs`, TTL 10 phút</t>
  </si>
  <si>
    <t>- Ô 'Trạng thái' vẫn đang chọn 'Khóa', danh sách vẫn lọc theo điều kiện cũ
- CHỈ có đúng 1 request danh sách được gửi (không gọi lặp)</t>
  </si>
  <si>
    <t>TC_01.013</t>
  </si>
  <si>
    <t>Bộ lọc hết hạn sau 10 phút</t>
  </si>
  <si>
    <t>Đã lọc Trạng thái = Khóa, rời màn &gt; 10 phút</t>
  </si>
  <si>
    <t>1. Quay lại /customer-care/costs sau 10 phút</t>
  </si>
  <si>
    <t>TTL đã hết</t>
  </si>
  <si>
    <t>- Bộ lọc về mặc định (rỗng), danh sách hiển thị toàn bộ 526 dòng</t>
  </si>
  <si>
    <t>II. BỘ LỌC &amp; TÌM KIẾM</t>
  </si>
  <si>
    <t>BỘ LỌC &amp; TÌM KIẾM</t>
  </si>
  <si>
    <t>TC_02.001</t>
  </si>
  <si>
    <t>Tìm nhanh theo tên dịch vụ</t>
  </si>
  <si>
    <t>Tồn tại dịch vụ tên 'Dịch vụ đánh bóng xy lanh'</t>
  </si>
  <si>
    <t>1. Nhập 'đánh bóng' vào ô tìm nhanh
2. Bấm nút 'Tìm kiếm'</t>
  </si>
  <si>
    <t>keyword = đánh bóng</t>
  </si>
  <si>
    <t>- Danh sách chỉ còn các dịch vụ có tên CHỨA 'đánh bóng'
- Phân trang nhảy về trang 1</t>
  </si>
  <si>
    <t>TC_02.002</t>
  </si>
  <si>
    <t>Ô tìm nhanh KHÔNG tự lọc khi gõ</t>
  </si>
  <si>
    <t>Đang ở màn danh sách 526 dòng</t>
  </si>
  <si>
    <t>1. Gõ 'đánh bóng' vào ô tìm nhanh
2. KHÔNG bấm gì, chờ 5 giây
3. Quan sát bảng và tab Network</t>
  </si>
  <si>
    <t>keyword = đánh bóng, chưa submit</t>
  </si>
  <si>
    <t>- Bảng GIỮ NGUYÊN 526 dòng
- KHÔNG có request nào được gửi (phải bấm 'Tìm kiếm' mới lọc)</t>
  </si>
  <si>
    <t>TC_02.003</t>
  </si>
  <si>
    <t>Mở / đóng bộ lọc nâng cao</t>
  </si>
  <si>
    <t>Bộ lọc đang thu gọn</t>
  </si>
  <si>
    <t>1. Bấm 'Tìm kiếm nâng cao'
2. Bấm lại nút đó (đã đổi chữ)</t>
  </si>
  <si>
    <t>- Lần 1: hiện 4 ô lọc (Tên dịch vụ / chi phí, Phân loại, Trạng thái, Người cập nhật), nút đổi chữ thành 'Ẩn tìm kiếm nâng cao'
- Lần 2: 4 ô ẩn đi, nút đổi lại 'Tìm kiếm nâng cao'</t>
  </si>
  <si>
    <t>TC_02.004</t>
  </si>
  <si>
    <t>Lọc theo ô 'Tên dịch vụ / chi phí' ở bộ lọc nâng cao</t>
  </si>
  <si>
    <t>Tồn tại dịch vụ tên chứa 'Thiết kế'</t>
  </si>
  <si>
    <t>1. Mở bộ lọc nâng cao
2. Nhập 'Thiết kế' vào ô Tên dịch vụ / chi phí
3. Bấm 'Tìm kiếm'</t>
  </si>
  <si>
    <t>name = Thiết kế</t>
  </si>
  <si>
    <t>- Danh sách chỉ còn dịch vụ có tên chứa 'Thiết kế'</t>
  </si>
  <si>
    <t>TC_02.005</t>
  </si>
  <si>
    <t>Lọc theo Phân loại = Dịch vụ có tính doanh thu</t>
  </si>
  <si>
    <t>Danh sách có cả 2 loại `revenue_calculation` 0 và 1</t>
  </si>
  <si>
    <t>1. Mở bộ lọc nâng cao
2. Chọn Phân loại = 'Dịch vụ có tính doanh thu'</t>
  </si>
  <si>
    <t>revenue_calculation = 1</t>
  </si>
  <si>
    <t>- Danh sách CHỈ còn dòng có pill 'Có tính doanh thu'
- Không còn dòng nào có pill 'Chi phí khác'</t>
  </si>
  <si>
    <t>TC_02.006</t>
  </si>
  <si>
    <t>Lọc theo Phân loại = Chi phí khác (giá trị 0)</t>
  </si>
  <si>
    <t>Danh sách có dịch vụ `revenue_calculation = 0` (vd 'test01111')</t>
  </si>
  <si>
    <t>1. Chọn Phân loại = 'Chi phí khác'
2. Quan sát kết quả</t>
  </si>
  <si>
    <t>revenue_calculation = 0</t>
  </si>
  <si>
    <t>- Danh sách CHỈ còn dòng pill 'Chi phí khác'
- ⚠️ Điểm dễ lỗi: giá trị 0 vẫn phải được gửi lên API và vẫn phải lọc (BE dùng `has()` chứ không dùng `filled()`), tuyệt đối KHÔNG được trả về toàn bộ danh sách</t>
  </si>
  <si>
    <t>TC_02.007</t>
  </si>
  <si>
    <t>Lọc theo Trạng thái = Khóa (giá trị 0)</t>
  </si>
  <si>
    <t>Danh sách có dịch vụ `status = 0` (vd 'test01111')</t>
  </si>
  <si>
    <t>1. Chọn Trạng thái = 'Khóa'</t>
  </si>
  <si>
    <t>status = 0</t>
  </si>
  <si>
    <t>- Danh sách CHỈ còn dòng có pill 'Khóa'
- ⚠️ Giá trị 0 vẫn phải lọc đúng, không được coi là 'chưa chọn'</t>
  </si>
  <si>
    <t>TC_02.008</t>
  </si>
  <si>
    <t>Lọc theo Trạng thái = Hoạt động</t>
  </si>
  <si>
    <t>Danh sách có cả dòng Hoạt động và Khóa</t>
  </si>
  <si>
    <t>1. Chọn Trạng thái = 'Hoạt động'</t>
  </si>
  <si>
    <t>status = 1</t>
  </si>
  <si>
    <t>- Danh sách CHỈ còn dòng pill 'Hoạt động'</t>
  </si>
  <si>
    <t>TC_02.009</t>
  </si>
  <si>
    <t>Lọc theo Người cập nhật</t>
  </si>
  <si>
    <t>NV '10410008 - Cao Đình Hòe' đã sửa 1 số dịch vụ</t>
  </si>
  <si>
    <t>1. Chọn Người cập nhật = '10410008 - Cao Đình Hòe'</t>
  </si>
  <si>
    <t>updated_by = id của Cao Đình Hòe</t>
  </si>
  <si>
    <t>- Danh sách chỉ còn dịch vụ có `updated_by` = NV đó</t>
  </si>
  <si>
    <t>TC_02.010</t>
  </si>
  <si>
    <t>Lọc Người cập nhật bắt cả bản ghi chưa từng sửa</t>
  </si>
  <si>
    <t>NV 'DNS01 - DNS Admin' TẠO dịch vụ Z và Z chưa từng được sửa (`updated_by = NULL`)</t>
  </si>
  <si>
    <t>1. Chọn Người cập nhật = 'DNS01 - DNS Admin'
2. Tìm dịch vụ Z trong kết quả</t>
  </si>
  <si>
    <t>updated_by = null, created_by = DNS01</t>
  </si>
  <si>
    <t>- Dịch vụ Z VẪN xuất hiện trong kết quả (BE lọc `updated_by = X` HOẶC (`updated_by` null VÀ `created_by = X`)) — giữ đúng ngữ nghĩa ERP</t>
  </si>
  <si>
    <t>TC_02.011</t>
  </si>
  <si>
    <t>Kết hợp nhiều điều kiện lọc</t>
  </si>
  <si>
    <t>Dữ liệu đa dạng cả về trạng thái, phân loại và tên</t>
  </si>
  <si>
    <t>1. Chọn Trạng thái = Hoạt động
2. Chọn Phân loại = Có tính doanh thu
3. Nhập 'Thiết kế' vào ô Tên dịch vụ / chi phí
4. Bấm 'Tìm kiếm'</t>
  </si>
  <si>
    <t>status=1, revenue_calculation=1, name=Thiết kế</t>
  </si>
  <si>
    <t>- Kết quả thỏa ĐỒNG THỜI cả 3 điều kiện (quan hệ AND)</t>
  </si>
  <si>
    <t>TC_02.012</t>
  </si>
  <si>
    <t>Đổi ô lọc nâng cao tự động gọi lại danh sách</t>
  </si>
  <si>
    <t>Đang ở trang 3 của danh sách</t>
  </si>
  <si>
    <t>1. Mở bộ lọc nâng cao, chọn Trạng thái = 'Khóa'
2. KHÔNG bấm 'Tìm kiếm'</t>
  </si>
  <si>
    <t>- Danh sách tự nạp lại ngay khi chọn (không cần bấm Tìm kiếm)
- Phân trang nhảy về trang 1</t>
  </si>
  <si>
    <t>TC_02.013</t>
  </si>
  <si>
    <t>Nút 'Làm mới' xóa lọc và nạp lại danh sách</t>
  </si>
  <si>
    <t>Đang lọc Trạng thái = Khóa + từ khóa 'test' (danh sách còn vài dòng)</t>
  </si>
  <si>
    <t>1. Bấm nút 'Làm mới'
2. Quan sát các ô lọc và bảng</t>
  </si>
  <si>
    <t>- Ô tìm nhanh và 4 ô lọc nâng cao đều về rỗng
- Bảng NẠP LẠI đầy đủ 526 dòng, về trang 1 (không được chỉ xóa ô lọc mà giữ nguyên kết quả cũ)</t>
  </si>
  <si>
    <t>TC_02.014</t>
  </si>
  <si>
    <t>Làm mới khi chỉ có từ khóa tìm nhanh</t>
  </si>
  <si>
    <t>Đang lọc bằng ô tìm nhanh 'test' (chỉ đổi trường keyword)</t>
  </si>
  <si>
    <t>1. Bấm 'Làm mới'</t>
  </si>
  <si>
    <t>chỉ keyword đổi</t>
  </si>
  <si>
    <t>- Bảng vẫn phải nạp lại toàn bộ danh sách (keyword nằm trong danh sách trường bỏ qua của watcher nên nút Làm mới phải tự gọi API)</t>
  </si>
  <si>
    <t>TC_02.015</t>
  </si>
  <si>
    <t>Tìm với từ khóa có ký tự đặc biệt của LIKE</t>
  </si>
  <si>
    <t>Danh sách có dữ liệu; không có dịch vụ nào tên chứa '%'</t>
  </si>
  <si>
    <t>1. Nhập '%' vào ô tìm nhanh
2. Bấm 'Tìm kiếm'</t>
  </si>
  <si>
    <t>keyword = %</t>
  </si>
  <si>
    <t>- Trả về danh sách RỖNG (ký tự '%' được escape, không được hiểu là ký tự đại diện trả về mọi dòng)</t>
  </si>
  <si>
    <t>TC_02.016</t>
  </si>
  <si>
    <t>Tìm với khoảng trắng</t>
  </si>
  <si>
    <t>1. Nhập vài dấu cách vào ô tìm nhanh
2. Bấm 'Tìm kiếm'</t>
  </si>
  <si>
    <t>keyword = '   '</t>
  </si>
  <si>
    <t>- Không áp điều kiện lọc rỗng, danh sách trả về bình thường, không lỗi</t>
  </si>
  <si>
    <t>III. DANH SÁCH, SẮP XẾP &amp; PHÂN TRANG</t>
  </si>
  <si>
    <t>DANH SÁCH, SẮP XẾP &amp; PHÂN TRANG</t>
  </si>
  <si>
    <t>TC_03.001</t>
  </si>
  <si>
    <t>Sắp xếp mặc định khi vào màn</t>
  </si>
  <si>
    <t>Danh sách 526 dòng, có bản ghi vừa tạo hôm nay</t>
  </si>
  <si>
    <t>1. Truy cập màn hình lần đầu
2. Quan sát thứ tự dòng</t>
  </si>
  <si>
    <t>chưa chọn cột sắp xếp</t>
  </si>
  <si>
    <t>- Sắp xếp theo ngày tạo GIẢM DẦN, bản ghi mới nhất nằm đầu danh sách</t>
  </si>
  <si>
    <t>TC_03.002</t>
  </si>
  <si>
    <t>Sắp xếp theo Tên dịch vụ / chi phí</t>
  </si>
  <si>
    <t>Danh sách có ≥ 20 dòng</t>
  </si>
  <si>
    <t>1. Bấm tiêu đề cột 'Tên dịch vụ / chi phí'
2. Bấm lần nữa</t>
  </si>
  <si>
    <t>sort_by=name</t>
  </si>
  <si>
    <t>- Lần 1: sắp tăng dần A→Z
- Lần 2: sắp giảm dần Z→A
- Icon mũi tên trên tiêu đề đổi chiều tương ứng</t>
  </si>
  <si>
    <t>TC_03.003</t>
  </si>
  <si>
    <t>Sắp xếp theo ĐM giảm giá</t>
  </si>
  <si>
    <t>Có dịch vụ có discount (5%, 32%, 95%) và dịch vụ discount null</t>
  </si>
  <si>
    <t>1. Bấm tiêu đề cột 'ĐM giảm giá'
2. Bấm lần nữa</t>
  </si>
  <si>
    <t>sort_by=discount</t>
  </si>
  <si>
    <t>- Sắp xếp đúng theo giá trị số của công ty hiện tại (5 → 32 → 95), không sắp theo chuỗi
- Dòng có giá trị null gom về 1 đầu, không gây lỗi SQL</t>
  </si>
  <si>
    <t>TC_03.004</t>
  </si>
  <si>
    <t>Sắp xếp theo % Tính giá vốn</t>
  </si>
  <si>
    <t>Có dịch vụ 0%, 1%, 60%, 80%, 321%</t>
  </si>
  <si>
    <t>1. Bấm tiêu đề '% Tính giá vốn' (tăng dần)</t>
  </si>
  <si>
    <t>sort_by=rate_value_capital</t>
  </si>
  <si>
    <t>- Thứ tự 0 → 1 → 60 → 80 → 321 (so sánh SỐ, không phải chuỗi: 321 phải đứng sau 80)</t>
  </si>
  <si>
    <t>TC_03.005</t>
  </si>
  <si>
    <t>Sắp xếp theo % VAT</t>
  </si>
  <si>
    <t>Có dịch vụ VAT 0%, 8%, 21%, 100%</t>
  </si>
  <si>
    <t>1. Bấm tiêu đề '% VAT'</t>
  </si>
  <si>
    <t>sort_by=vat_percent</t>
  </si>
  <si>
    <t>- Thứ tự tăng dần đúng theo giá trị số</t>
  </si>
  <si>
    <t>TC_03.006</t>
  </si>
  <si>
    <t>Sắp xếp theo Trạng thái</t>
  </si>
  <si>
    <t>Có dòng Hoạt động và dòng Khóa</t>
  </si>
  <si>
    <t>1. Bấm tiêu đề 'Trạng thái'</t>
  </si>
  <si>
    <t>sort_by=status</t>
  </si>
  <si>
    <t>- Gom nhóm theo status (0 rồi 1 hoặc ngược lại), không lỗi</t>
  </si>
  <si>
    <t>TC_03.007</t>
  </si>
  <si>
    <t>Sắp xếp theo Cập nhật</t>
  </si>
  <si>
    <t>Có dòng sửa gần đây và dòng sửa lâu rồi</t>
  </si>
  <si>
    <t>1. Bấm tiêu đề 'Cập nhật' 2 lần</t>
  </si>
  <si>
    <t>sort_by=updated_at</t>
  </si>
  <si>
    <t>- Sắp đúng theo thời điểm cập nhật, cả 2 chiều</t>
  </si>
  <si>
    <t>TC_03.008</t>
  </si>
  <si>
    <t>Sắp xếp giữ nguyên khi chuyển trang</t>
  </si>
  <si>
    <t>Đang sắp xếp theo Tên tăng dần</t>
  </si>
  <si>
    <t>1. Bấm sang trang 2
2. Quan sát thứ tự và tiêu đề cột</t>
  </si>
  <si>
    <t>sort_by=name, page=2</t>
  </si>
  <si>
    <t>- Trang 2 tiếp nối đúng thứ tự A→Z của trang 1
- Icon sắp xếp trên cột Tên vẫn giữ trạng thái</t>
  </si>
  <si>
    <t>TC_03.009</t>
  </si>
  <si>
    <t>Bấm sắp xếp làm quay về trang 1</t>
  </si>
  <si>
    <t>Đang ở trang 3</t>
  </si>
  <si>
    <t>1. Bấm tiêu đề cột 'Tên dịch vụ / chi phí'</t>
  </si>
  <si>
    <t>page=3 → sort</t>
  </si>
  <si>
    <t>- Danh sách nhảy về trang 1 với thứ tự mới</t>
  </si>
  <si>
    <t>TC_03.010</t>
  </si>
  <si>
    <t>Phân trang mặc định 10 dòng</t>
  </si>
  <si>
    <t>Danh sách có 526 dòng</t>
  </si>
  <si>
    <t>1. Vào màn hình
2. Đọc dòng đếm ở chân bảng</t>
  </si>
  <si>
    <t>per_page mặc định</t>
  </si>
  <si>
    <t>- Bảng hiện đúng 10 dòng
- Chân bảng ghi 'Hiển thị 1–10 / 526 dịch vụ / chi phí'
- Có 53 trang, nút chuyển trang hiển thị đầy đủ</t>
  </si>
  <si>
    <t>TC_03.011</t>
  </si>
  <si>
    <t>Chuyển trang</t>
  </si>
  <si>
    <t>Danh sách 526 dòng, 10 dòng/trang</t>
  </si>
  <si>
    <t>1. Bấm sang trang 2
2. Bấm sang trang 3
3. Bấm nút về trang cuối</t>
  </si>
  <si>
    <t>page 2, 3, 53</t>
  </si>
  <si>
    <t>- Mỗi trang hiển thị đúng 10 dòng, dữ liệu KHÁC nhau, chân bảng cập nhật 11–20 / 21–30
- Trang cuối hiển thị 6 dòng (526 = 52×10 + 6)
- Bộ lọc đang áp dụng KHÔNG bị reset khi chuyển trang</t>
  </si>
  <si>
    <t>TC_03.012</t>
  </si>
  <si>
    <t>Đổi số dòng mỗi trang</t>
  </si>
  <si>
    <t>Danh sách 526 dòng</t>
  </si>
  <si>
    <t>1. Chọn 'Số dòng/trang' = 50
2. Quan sát bảng và số trang</t>
  </si>
  <si>
    <t>per_page = 50</t>
  </si>
  <si>
    <t>- Bảng hiện 50 dòng, chân bảng ghi 'Hiển thị 1–50 / 526', tổng số trang tính lại còn 11
- Danh sách nhảy về trang 1</t>
  </si>
  <si>
    <t>TC_03.013</t>
  </si>
  <si>
    <t>Danh sách 4 lựa chọn số dòng/trang</t>
  </si>
  <si>
    <t>1. Mở dropdown 'Số dòng/trang'</t>
  </si>
  <si>
    <t>- Có đúng 4 lựa chọn: 5, 10, 20, 50; mặc định đang chọn 10</t>
  </si>
  <si>
    <t>TC_03.014</t>
  </si>
  <si>
    <t>Không gọi API trùng khi thao tác 1 lần</t>
  </si>
  <si>
    <t>Mở tab Network của trình duyệt</t>
  </si>
  <si>
    <t>1. Bấm sang trang 2
2. Đếm số request `customer-care/costs` phát sinh</t>
  </si>
  <si>
    <t>1 thao tác chuyển trang</t>
  </si>
  <si>
    <t>- CHỈ có đúng 1 request được gửi (cơ chế chặn request trùng), không phải 2</t>
  </si>
  <si>
    <t>TC_03.015</t>
  </si>
  <si>
    <t>STT liên tục qua các trang</t>
  </si>
  <si>
    <t>10 dòng/trang</t>
  </si>
  <si>
    <t>1. Xem STT ở trang 1
2. Sang trang 2 xem STT</t>
  </si>
  <si>
    <t>page 1 → 2</t>
  </si>
  <si>
    <t>- Trang 1: STT 1–10
- Trang 2: STT 11–20 (không quay lại đếm từ 1)</t>
  </si>
  <si>
    <t>IV. TẠO MỚI / SỬA / XEM</t>
  </si>
  <si>
    <t>TẠO MỚI / SỬA / XEM</t>
  </si>
  <si>
    <t>TC_04.001</t>
  </si>
  <si>
    <t>Mở form Tạo mới</t>
  </si>
  <si>
    <t>User C có quyền quản lý</t>
  </si>
  <si>
    <t>1. Bấm nút 'Tạo mới'
2. Quan sát modal</t>
  </si>
  <si>
    <t>- Modal tiêu đề 'Thêm dịch vụ / chi phí' mở ra
- Có 4 ô: Tên dịch vụ / chi phí (*), % Tính giá vốn (*), % VAT (*), ĐM giảm giá (%)
- Có checkbox 'Dịch vụ có tính doanh thu' đang TICK SẴN
- KHÔNG có ô 'Trạng thái'
- 3 nút: 'Lưu', 'Lưu &amp; Tiếp tục', 'Đóng'</t>
  </si>
  <si>
    <t>TC_04.002</t>
  </si>
  <si>
    <t>Giá trị mặc định khi mở form Tạo mới</t>
  </si>
  <si>
    <t>Vừa bấm 'Tạo mới'</t>
  </si>
  <si>
    <t>1. Quan sát giá trị từng ô</t>
  </si>
  <si>
    <t>- Tên / % Tính giá vốn / % VAT / ĐM giảm giá: RỖNG (chỉ có chữ gợi ý mờ)
- 'Dịch vụ có tính doanh thu': ĐÃ TICK
- Không có ô nào hiện lỗi đỏ</t>
  </si>
  <si>
    <t>TC_04.003</t>
  </si>
  <si>
    <t>Tạo mới dịch vụ hợp lệ đầy đủ</t>
  </si>
  <si>
    <t>User C có quyền quản lý; chưa tồn tại dịch vụ tên 'TC Dịch vụ kiểm thử 01'</t>
  </si>
  <si>
    <t>1. Bấm 'Tạo mới'
2. Nhập Tên = 'TC Dịch vụ kiểm thử 01'
3. % Tính giá vốn = 70
4. % VAT = 8
5. ĐM giảm giá = 5
6. Giữ tick 'Dịch vụ có tính doanh thu'
7. Bấm 'Lưu'</t>
  </si>
  <si>
    <t>name='TC Dịch vụ kiểm thử 01', rate=70, vat=8, discount=5</t>
  </si>
  <si>
    <t>- Toast xanh 'Thêm mới thành công'
- Modal đóng lại, danh sách nạp lại và bản ghi mới nằm ĐẦU danh sách
- Dòng mới: Phân loại 'Có tính doanh thu', ĐM giảm giá 5%, % Tính giá vốn 70%, % VAT 8%, Trạng thái 'Hoạt động', Cập nhật = hôm nay bởi chính user C</t>
  </si>
  <si>
    <t>TC_04.004</t>
  </si>
  <si>
    <t>Tạo mới bỏ trống ĐM giảm giá</t>
  </si>
  <si>
    <t>Chưa tồn tại dịch vụ tên 'TC Dịch vụ kiểm thử 02'</t>
  </si>
  <si>
    <t>1. Tạo mới, nhập Tên / % Tính giá vốn = 50 / % VAT = 10
2. ĐỂ TRỐNG ĐM giảm giá
3. Bấm 'Lưu'</t>
  </si>
  <si>
    <t>discount = ''</t>
  </si>
  <si>
    <t>- Lưu thành công, KHÔNG báo lỗi ở ô ĐM giảm giá
- Cột 'ĐM giảm giá' của dòng mới hiển thị '—'
- Không sinh dòng nào trong bảng `company_costs`</t>
  </si>
  <si>
    <t>TC_04.005</t>
  </si>
  <si>
    <t>Tạo mới bỏ tick 'Dịch vụ có tính doanh thu'</t>
  </si>
  <si>
    <t>Chưa tồn tại dịch vụ tên 'TC Chi phí khác 01'</t>
  </si>
  <si>
    <t>1. Tạo mới, nhập Tên = 'TC Chi phí khác 01', % Tính giá vốn = 0, % VAT = 0
2. BỎ TICK 'Dịch vụ có tính doanh thu'
3. Bấm 'Lưu'</t>
  </si>
  <si>
    <t>- Lưu thành công
- Dòng mới có pill 'Chi phí khác' (màu đỏ) ở cột Phân loại</t>
  </si>
  <si>
    <t>TC_04.006</t>
  </si>
  <si>
    <t>Trạng thái sau khi tạo luôn là Hoạt động</t>
  </si>
  <si>
    <t>Vừa tạo mới 1 dịch vụ</t>
  </si>
  <si>
    <t>1. Xem cột Trạng thái của dòng vừa tạo</t>
  </si>
  <si>
    <t>- Trạng thái = 'Hoạt động' (`status = 1`), người dùng không chọn được lúc tạo</t>
  </si>
  <si>
    <t>TC_04.007</t>
  </si>
  <si>
    <t>Nút 'Lưu &amp; Tiếp tục' giữ modal mở</t>
  </si>
  <si>
    <t>Đang mở form Tạo mới</t>
  </si>
  <si>
    <t>1. Nhập đủ thông tin hợp lệ cho dịch vụ 'TC Liên tục 01'
2. Bấm 'Lưu &amp; Tiếp tục'
3. Quan sát modal</t>
  </si>
  <si>
    <t>- Toast 'Thêm mới thành công'
- Modal VẪN MỞ, tiêu đề vẫn là 'Thêm dịch vụ / chi phí'
- Mọi ô đã được XÓA TRẮNG, checkbox tick lại mặc định → nhập tiếp bản ghi kế tiếp ngay được</t>
  </si>
  <si>
    <t>TC_04.008</t>
  </si>
  <si>
    <t>Bấm Lưu 2 lần liên tiếp không tạo 2 bản ghi</t>
  </si>
  <si>
    <t>Đang mở form Tạo mới với dữ liệu hợp lệ</t>
  </si>
  <si>
    <t>1. Bấm 'Lưu' rồi bấm ngay lần 2 thật nhanh
2. Đếm số bản ghi trùng tên trong danh sách</t>
  </si>
  <si>
    <t>double click</t>
  </si>
  <si>
    <t>- Chỉ tạo ĐÚNG 1 bản ghi (nút bị khóa trong lúc đang gửi)
- Lần bấm thứ 2 không sinh request mới</t>
  </si>
  <si>
    <t>TC_04.009</t>
  </si>
  <si>
    <t>Mở form Sửa — dữ liệu nạp đúng</t>
  </si>
  <si>
    <t>Tồn tại dịch vụ 'Dịch vụ đánh bóng xy lanh' (giá vốn 60, VAT 8, ĐM giảm giá 5, có tính doanh thu, Hoạt động)</t>
  </si>
  <si>
    <t>1. Bấm nút Sửa (icon bút chì) ở dòng đó
2. Đối chiếu từng ô với dữ liệu trên lưới</t>
  </si>
  <si>
    <t>cost id của dòng đó</t>
  </si>
  <si>
    <t>- Modal tiêu đề 'Sửa dịch vụ / chi phí'
- Ở tiêu đề có chip 'Cập nhật: 16/07/2026 15:12' và 'Bởi: 10410008 - Cao Đình Hòe'
- Tên = 'Dịch vụ đánh bóng xy lanh', % Tính giá vốn = 60, % VAT = 8, ĐM giảm giá = 5, Trạng thái = 'Hoạt động', checkbox ĐÃ TICK</t>
  </si>
  <si>
    <t>TC_04.010</t>
  </si>
  <si>
    <t>Form Sửa CÓ ô Trạng thái</t>
  </si>
  <si>
    <t>Đang mở form Sửa</t>
  </si>
  <si>
    <t>1. Quan sát khu vực dưới ô ĐM giảm giá</t>
  </si>
  <si>
    <t>- CÓ ô select 'Trạng thái' với 2 lựa chọn 'Hoạt động' / 'Khóa'
- KHÔNG có nút 'Lưu &amp; Tiếp tục' (chỉ có 'Lưu' và 'Đóng')</t>
  </si>
  <si>
    <t>TC_04.011</t>
  </si>
  <si>
    <t>Sửa và lưu thành công</t>
  </si>
  <si>
    <t>Dịch vụ 'TC Dịch vụ kiểm thử 01' đang Hoạt động</t>
  </si>
  <si>
    <t>1. Bấm Sửa
2. Đổi Tên thành 'TC Dịch vụ kiểm thử 01 - đã sửa'
3. Đổi % VAT = 10
4. Bấm 'Lưu'</t>
  </si>
  <si>
    <t>name mới, vat = 10</t>
  </si>
  <si>
    <t>- Toast 'Cập nhật thành công', modal đóng
- Dòng trên lưới đổi tên và % VAT thành 10%
- Cột Cập nhật đổi thành thời điểm hiện tại 'bởi &lt;người đang đăng nhập&gt;'</t>
  </si>
  <si>
    <t>TC_04.012</t>
  </si>
  <si>
    <t>Sửa để bỏ trống ĐM giảm giá → xóa chiết khấu</t>
  </si>
  <si>
    <t>Dịch vụ X có ĐM giảm giá 5% cho công ty hiện tại</t>
  </si>
  <si>
    <t>1. Bấm Sửa X
2. XÓA TRẮNG ô 'ĐM giảm giá'
3. Bấm 'Lưu'
4. Xem lại lưới</t>
  </si>
  <si>
    <t>- Lưu thành công
- Cột 'ĐM giảm giá' của X đổi thành '—'
- Dòng `company_costs` của công ty hiện tại bị XÓA; chiết khấu của công ty khác GIỮ NGUYÊN</t>
  </si>
  <si>
    <t>TC_04.013</t>
  </si>
  <si>
    <t>Sửa nhập ĐM giảm giá = 0 cũng bị coi là không có</t>
  </si>
  <si>
    <t>Dịch vụ X đang có ĐM giảm giá 5%</t>
  </si>
  <si>
    <t>1. Sửa X, nhập ĐM giảm giá = 0
2. Bấm 'Lưu'</t>
  </si>
  <si>
    <t>discount = 0</t>
  </si>
  <si>
    <t>- Lưu thành công
- Cột 'ĐM giảm giá' hiển thị '—' (không hiển thị 0%)
- Dòng `company_costs` bị xóa (hệ thống chỉ lưu chiết khấu &gt; 0)</t>
  </si>
  <si>
    <t>TC_04.014</t>
  </si>
  <si>
    <t>Sửa đổi Trạng thái sang Khóa ngay trong form</t>
  </si>
  <si>
    <t>Dịch vụ X đang Hoạt động</t>
  </si>
  <si>
    <t>1. Bấm Sửa X
2. Đổi ô Trạng thái = 'Khóa'
3. Bấm 'Lưu'</t>
  </si>
  <si>
    <t>- Lưu thành công
- Dòng X trên lưới đổi sang pill 'Khóa'
- Nút Sửa và nút Xóa của dòng X chuyển sang mờ (disabled), nút ổ khóa đổi thành icon mở khóa</t>
  </si>
  <si>
    <t>TC_04.015</t>
  </si>
  <si>
    <t>Sửa giữ nguyên tên không báo trùng chính nó</t>
  </si>
  <si>
    <t>Dịch vụ 'TC Dịch vụ kiểm thử 02' đang tồn tại</t>
  </si>
  <si>
    <t>1. Bấm Sửa, GIỮ NGUYÊN tên, chỉ đổi % VAT = 5
2. Bấm 'Lưu'</t>
  </si>
  <si>
    <t>name không đổi</t>
  </si>
  <si>
    <t>- Lưu thành công, KHÔNG báo lỗi 'Đã tồn tại trên hệ thống'</t>
  </si>
  <si>
    <t>TC_04.016</t>
  </si>
  <si>
    <t>Mở form Xem — mọi ô chỉ đọc</t>
  </si>
  <si>
    <t>Tồn tại dịch vụ bất kỳ</t>
  </si>
  <si>
    <t>1. Bấm nút Xem (icon con mắt)
2. Thử gõ vào từng ô</t>
  </si>
  <si>
    <t>- Modal tiêu đề 'Xem dịch vụ / chi phí'
- 4 ô nhập, ô select Trạng thái và checkbox đều MỜ, không gõ / không chọn được
- Chân modal CHỈ có nút 'Đóng' (không có 'Lưu')</t>
  </si>
  <si>
    <t>TC_04.017</t>
  </si>
  <si>
    <t>Bấm Xem trên dòng đang Khóa</t>
  </si>
  <si>
    <t>Dịch vụ 'test01111' đang ở trạng thái Khóa</t>
  </si>
  <si>
    <t>1. Bấm nút Xem ở dòng đó</t>
  </si>
  <si>
    <t>- Vẫn mở được modal Xem, dữ liệu đầy đủ, ô Trạng thái hiển thị 'Khóa'</t>
  </si>
  <si>
    <t>TC_04.018</t>
  </si>
  <si>
    <t>Nút Sửa bị vô hiệu khi dòng đang Khóa</t>
  </si>
  <si>
    <t>Dịch vụ 'test01111' đang Khóa; user có quyền quản lý</t>
  </si>
  <si>
    <t>1. Rê chuột lên nút Sửa của dòng đó
2. Thử bấm</t>
  </si>
  <si>
    <t>- Nút Sửa hiển thị nhưng MỜ (disabled), không bấm được
- Tooltip: 'Chi phí đang bị khóa, hãy mở khóa trước khi sửa'</t>
  </si>
  <si>
    <t>TC_04.019</t>
  </si>
  <si>
    <t>Đóng modal xóa sạch dữ liệu đã nhập dở</t>
  </si>
  <si>
    <t>Đang mở form Tạo mới và đã nhập vài trường</t>
  </si>
  <si>
    <t>1. Bấm 'Đóng'
2. Bấm lại 'Tạo mới'</t>
  </si>
  <si>
    <t>- Form mở lại ở trạng thái trắng hoàn toàn, không còn dữ liệu của lần trước</t>
  </si>
  <si>
    <t>TC_04.020</t>
  </si>
  <si>
    <t>Đóng modal bằng dấu X ở góc</t>
  </si>
  <si>
    <t>1. Bấm dấu '×' góc phải trên modal</t>
  </si>
  <si>
    <t>- Modal đóng, không lưu thay đổi, danh sách giữ nguyên</t>
  </si>
  <si>
    <t>TC_04.021</t>
  </si>
  <si>
    <t>Bản ghi hệ thống 'Chi phí đi lại' không sửa được</t>
  </si>
  <si>
    <t>Tồn tại bản ghi tên đúng 'Chi phí đi lại'</t>
  </si>
  <si>
    <t>1. Tìm bản ghi 'Chi phí đi lại'
2. Rê chuột lên nút Sửa
3. Gọi thẳng API PUT /customer-care/costs/{id} bằng Postman</t>
  </si>
  <si>
    <t>name = 'Chi phí đi lại'</t>
  </si>
  <si>
    <t>- Nút Sửa MỜ, tooltip 'Chi phí này không được phép sửa'
- API PUT trả 400 với thông báo 'Chi phí này không được phép sửa', dữ liệu không đổi</t>
  </si>
  <si>
    <t>TC_04.022</t>
  </si>
  <si>
    <t>Bản ghi hệ thống 'Chi phí vận chuyển' không sửa được</t>
  </si>
  <si>
    <t>Tồn tại bản ghi tên đúng 'Chi phí vận chuyển'</t>
  </si>
  <si>
    <t>1. Rê chuột lên nút Sửa và nút Xóa của dòng đó
2. Rê chuột lên nút ổ khóa</t>
  </si>
  <si>
    <t>name = 'Chi phí vận chuyển'</t>
  </si>
  <si>
    <t>- Cả 3 nút Sửa / Xóa / ổ khóa đều MỜ
- Tooltip lần lượt: 'Chi phí này không được phép sửa', 'Chi phí này không được phép xóa', 'Chi phí này không được phép khóa'</t>
  </si>
  <si>
    <t>V. KHÓA / MỞ KHÓA</t>
  </si>
  <si>
    <t>KHÓA / MỞ KHÓA</t>
  </si>
  <si>
    <t>TC_05.001</t>
  </si>
  <si>
    <t>Vị trí nút Khóa / Mở khóa</t>
  </si>
  <si>
    <t>1. Quan sát cột 'Trạng thái' của từng dòng</t>
  </si>
  <si>
    <t>- Nút ổ khóa nằm NGAY TRONG cột Trạng thái, bên phải pill (KHÔNG nằm ở cột Hành động)
- Dòng Hoạt động: icon ổ khóa đóng; dòng Khóa: icon ổ khóa mở</t>
  </si>
  <si>
    <t>TC_05.002</t>
  </si>
  <si>
    <t>Khóa 1 dịch vụ đang Hoạt động</t>
  </si>
  <si>
    <t>Dịch vụ 'TC Dịch vụ kiểm thử 02' đang Hoạt động</t>
  </si>
  <si>
    <t>1. Bấm nút ổ khóa ở dòng đó
2. Quan sát hộp thoại
3. Bấm 'Khóa'</t>
  </si>
  <si>
    <t>status 1 → 0</t>
  </si>
  <si>
    <t>- Hộp thoại tiêu đề 'Xác nhận khóa', nội dung "Bạn có chắc muốn khóa 'TC Dịch vụ kiểm thử 02'?", 2 nút 'Hủy' / 'Khóa'
- Sau khi bấm Khóa: toast 'Khóa thành công', danh sách nạp lại, pill đổi thành 'Khóa'</t>
  </si>
  <si>
    <t>TC_05.003</t>
  </si>
  <si>
    <t>Bấm Hủy ở hộp xác nhận khóa</t>
  </si>
  <si>
    <t>1. Bấm nút ổ khóa
2. Bấm 'Hủy'</t>
  </si>
  <si>
    <t>- Hộp thoại đóng, KHÔNG có request nào được gửi, trạng thái X giữ nguyên 'Hoạt động'</t>
  </si>
  <si>
    <t>TC_05.004</t>
  </si>
  <si>
    <t>Mở khóa 1 dịch vụ đang Khóa</t>
  </si>
  <si>
    <t>Dịch vụ 'TC Dịch vụ kiểm thử 02' đang Khóa</t>
  </si>
  <si>
    <t>1. Bấm nút ổ khóa (icon mở) ở dòng đó
2. Quan sát hộp thoại
3. Bấm 'Mở khóa'</t>
  </si>
  <si>
    <t>status 0 → 1</t>
  </si>
  <si>
    <t>- Hộp thoại tiêu đề 'Xác nhận mở khóa', nút xác nhận ghi 'Mở khóa'
- Toast 'Mở khóa thành công', pill đổi lại 'Hoạt động'
- Nút Sửa và Xóa của dòng đó sáng trở lại</t>
  </si>
  <si>
    <t>TC_05.005</t>
  </si>
  <si>
    <t>Mở khóa giữ nguyên ĐM giảm giá cũ</t>
  </si>
  <si>
    <t>Dịch vụ X có ĐM giảm giá 12% rồi bị Khóa</t>
  </si>
  <si>
    <t>1. Mở khóa X
2. Xem cột 'ĐM giảm giá'</t>
  </si>
  <si>
    <t>discount = 12 trước khi khóa</t>
  </si>
  <si>
    <t>- Sau khi mở khóa, ĐM giảm giá vẫn là 12% (thao tác khóa/mở khóa CHỈ đụng cột `status`, không xóa dòng `company_costs`)</t>
  </si>
  <si>
    <t>TC_05.006</t>
  </si>
  <si>
    <t>Khóa rồi mở khóa không đổi các trường khác</t>
  </si>
  <si>
    <t>Dịch vụ X: giá vốn 70%, VAT 8%, có tính doanh thu</t>
  </si>
  <si>
    <t>1. Khóa X
2. Mở khóa X
3. Đối chiếu các cột</t>
  </si>
  <si>
    <t>- % Tính giá vốn, % VAT, Phân loại giữ nguyên; chỉ 'Cập nhật' đổi sang người và thời điểm mới nhất</t>
  </si>
  <si>
    <t>TC_05.007</t>
  </si>
  <si>
    <t>Bản ghi hệ thống không khóa được</t>
  </si>
  <si>
    <t>Bản ghi 'Chi phí đi lại' đang Hoạt động</t>
  </si>
  <si>
    <t>1. Rê chuột lên nút ổ khóa của dòng đó
2. Gọi API GET /customer-care/costs/{id}/lock</t>
  </si>
  <si>
    <t>name trong danh sách chặn</t>
  </si>
  <si>
    <t>- Nút ổ khóa MỜ, tooltip 'Chi phí này không được phép khóa'
- API trả 400 'Chi phí này không được phép khóa', `status` không đổi</t>
  </si>
  <si>
    <t>TC_05.008</t>
  </si>
  <si>
    <t>Gọi API khóa lên bản ghi đã Khóa</t>
  </si>
  <si>
    <t>Dịch vụ X đang ở trạng thái Khóa</t>
  </si>
  <si>
    <t>1. Postman gọi GET /customer-care/costs/{X}/lock</t>
  </si>
  <si>
    <t>status đang = 0</t>
  </si>
  <si>
    <t>- BE trả 400 'Chi phí đang bị khóa'
- Trạng thái không đổi</t>
  </si>
  <si>
    <t>TC_05.009</t>
  </si>
  <si>
    <t>Gọi API mở khóa lên bản ghi đang Hoạt động</t>
  </si>
  <si>
    <t>1. Postman gọi GET /customer-care/costs/{X}/unlock</t>
  </si>
  <si>
    <t>status đang = 1</t>
  </si>
  <si>
    <t>- BE trả 400 'Chi phí đang hoạt động'
- Trạng thái không đổi</t>
  </si>
  <si>
    <t>TC_05.010</t>
  </si>
  <si>
    <t>Người chỉ có quyền Xem không thấy nút ổ khóa</t>
  </si>
  <si>
    <t>Tài khoản B chỉ có quyền 'Xem dịch vụ sửa chữa và chi phí khác'</t>
  </si>
  <si>
    <t>1. Đăng nhập B, quan sát cột Trạng thái</t>
  </si>
  <si>
    <t>User B</t>
  </si>
  <si>
    <t>- Cột Trạng thái CHỈ có pill, không hiển thị nút ổ khóa</t>
  </si>
  <si>
    <t>VI. XÓA (XÓA HẲN HOẶC CHUYỂN KHÓA)</t>
  </si>
  <si>
    <t>XÓA (XÓA HẲN HOẶC CHUYỂN KHÓA)</t>
  </si>
  <si>
    <t>TC_06.001</t>
  </si>
  <si>
    <t>Xóa dịch vụ chưa phát sinh chứng từ</t>
  </si>
  <si>
    <t>Dịch vụ 'TC Dịch vụ kiểm thử 01' đang Hoạt động, CHƯA xuất hiện ở `firm_quotation_costs` và `firm_contract_costs`</t>
  </si>
  <si>
    <t>1. Bấm nút Xóa (icon thùng rác) ở dòng đó
2. Quan sát hộp thoại
3. Bấm 'Xóa'</t>
  </si>
  <si>
    <t>cost chưa dùng ở đâu</t>
  </si>
  <si>
    <t>- Hộp thoại tiêu đề 'Xác nhận xóa', nội dung "Bạn có chắc muốn xóa 'TC Dịch vụ kiểm thử 01'?", nút xác nhận ghi 'Xóa'
- Toast 'Xóa thành công', bản ghi BIẾN MẤT khỏi danh sách
- Chiết khấu của bản ghi đó ở MỌI công ty trong `company_costs` cũng bị xóa theo</t>
  </si>
  <si>
    <t>TC_06.002</t>
  </si>
  <si>
    <t>Xóa dịch vụ đã phát sinh chứng từ → chỉ bị Khóa</t>
  </si>
  <si>
    <t>Dịch vụ Y đang Hoạt động và ĐÃ được dùng trong ≥ 1 Báo giá hãng (`firm_quotation_costs`)</t>
  </si>
  <si>
    <t>1. Bấm nút Xóa ở dòng Y
2. Đọc kỹ hộp thoại
3. Bấm nút xác nhận</t>
  </si>
  <si>
    <t>cost_id có trong firm_quotation_costs</t>
  </si>
  <si>
    <t>- Hộp thoại đổi tiêu đề thành 'Xác nhận khóa', nút xác nhận ghi 'Khóa'
- Nội dung có câu 'Chi phí đang được sử dụng ở: Báo giá hãng. Hệ thống sẽ chuyển sang trạng thái Khóa thay vì xóa.'
- Sau xác nhận: toast 'Khóa thành công', dòng Y VẪN CÒN trong danh sách nhưng pill đổi thành 'Khóa'
- Chiết khấu trong `company_costs` GIỮ NGUYÊN</t>
  </si>
  <si>
    <t>TC_06.003</t>
  </si>
  <si>
    <t>Dịch vụ dùng trong Hợp đồng hãng cũng chỉ bị Khóa</t>
  </si>
  <si>
    <t>Dịch vụ Z đã được dùng trong `firm_contract_costs`</t>
  </si>
  <si>
    <t>1. Bấm Xóa dòng Z
2. Đọc thông báo</t>
  </si>
  <si>
    <t>cost_id có trong firm_contract_costs</t>
  </si>
  <si>
    <t>- Thông báo ghi rõ 'Chi phí đang được sử dụng ở: Hợp đồng hãng.'
- Sau xác nhận: bản ghi chuyển Khóa, không bị xóa</t>
  </si>
  <si>
    <t>TC_06.004</t>
  </si>
  <si>
    <t>Dịch vụ dùng ở cả 2 loại chứng từ</t>
  </si>
  <si>
    <t>Dịch vụ W xuất hiện ở CẢ `firm_quotation_costs` và `firm_contract_costs`</t>
  </si>
  <si>
    <t>1. Bấm Xóa dòng W
2. Đọc thông báo</t>
  </si>
  <si>
    <t>cost dùng ở 2 bảng</t>
  </si>
  <si>
    <t>- Thông báo liệt kê ĐỦ 2 nguồn: 'Báo giá hãng, Hợp đồng hãng'</t>
  </si>
  <si>
    <t>TC_06.005</t>
  </si>
  <si>
    <t>Bấm Hủy ở hộp xác nhận xóa</t>
  </si>
  <si>
    <t>1. Bấm nút Xóa
2. Bấm 'Hủy'</t>
  </si>
  <si>
    <t>- Hộp thoại đóng, bản ghi vẫn còn nguyên, trạng thái không đổi</t>
  </si>
  <si>
    <t>TC_06.006</t>
  </si>
  <si>
    <t>Nút Xóa bị vô hiệu khi dòng đang Khóa</t>
  </si>
  <si>
    <t>Dịch vụ 'test01111' đang Khóa</t>
  </si>
  <si>
    <t>1. Rê chuột lên nút Xóa của dòng đó</t>
  </si>
  <si>
    <t>- Nút Xóa MỜ, tooltip 'Chi phí đã bị khóa'</t>
  </si>
  <si>
    <t>TC_06.007</t>
  </si>
  <si>
    <t>Bản ghi hệ thống không xóa được</t>
  </si>
  <si>
    <t>Bản ghi 'Chi phí đi lại'</t>
  </si>
  <si>
    <t>1. Rê chuột lên nút Xóa
2. Gọi API DELETE /customer-care/costs/{id}</t>
  </si>
  <si>
    <t>- Nút Xóa MỜ, tooltip 'Chi phí này không được phép xóa'
- API DELETE trả 400 'Chi phí này không được phép xóa hoặc đã bị khóa'</t>
  </si>
  <si>
    <t>TC_06.008</t>
  </si>
  <si>
    <t>Bấm Xóa liên tiếp nhiều dòng không bị chồng lệnh</t>
  </si>
  <si>
    <t>Danh sách có nhiều dòng xóa được</t>
  </si>
  <si>
    <t>1. Bấm nút Xóa dòng 1, rồi bấm ngay nút Xóa dòng 2 khi đang chờ kiểm tra</t>
  </si>
  <si>
    <t>2 lần bấm liên tiếp</t>
  </si>
  <si>
    <t>- Trong lúc đang kiểm tra tình trạng sử dụng của dòng 1, nút Xóa các dòng khác bị vô hiệu
- Chỉ mở đúng 1 hộp thoại, không mở chồng 2 hộp</t>
  </si>
  <si>
    <t>TC_06.009</t>
  </si>
  <si>
    <t>Xóa xong danh sách nạp lại đúng tổng số</t>
  </si>
  <si>
    <t>Danh sách đang có 526 dòng</t>
  </si>
  <si>
    <t>1. Xóa hẳn 1 dịch vụ
2. Đọc dòng đếm ở chân bảng</t>
  </si>
  <si>
    <t>- Tổng số đổi thành 525, không cần tải lại trang thủ công</t>
  </si>
  <si>
    <t>TC_06.010</t>
  </si>
  <si>
    <t>Xóa bản ghi không tồn tại</t>
  </si>
  <si>
    <t>Dịch vụ X vừa bị người khác xóa</t>
  </si>
  <si>
    <t>1. Postman gọi DELETE /customer-care/costs/{X}</t>
  </si>
  <si>
    <t>id không còn</t>
  </si>
  <si>
    <t>- BE trả 404, không lỗi 500</t>
  </si>
  <si>
    <t>VII. XUẤT EXCEL</t>
  </si>
  <si>
    <t>XUẤT EXCEL</t>
  </si>
  <si>
    <t>TC_07.001</t>
  </si>
  <si>
    <t>Xuất Excel toàn bộ danh sách</t>
  </si>
  <si>
    <t>Danh sách 526 dòng, không áp bộ lọc nào</t>
  </si>
  <si>
    <t>1. Bấm nút 'Xuất Excel'
2. Mở file tải về</t>
  </si>
  <si>
    <t>không lọc</t>
  </si>
  <si>
    <t>- Toast 'Xuất Excel thành công'
- File tên `danh_muc_dich_vu_sua_chua_va_chi_phi_khac.xlsx`
- File chứa ĐỦ 526 dòng (không chỉ 10 dòng của trang hiện tại)</t>
  </si>
  <si>
    <t>TC_07.002</t>
  </si>
  <si>
    <t>File Excel đúng 8 cột</t>
  </si>
  <si>
    <t>Đã tải file Excel</t>
  </si>
  <si>
    <t>1. Đọc hàng tiêu đề của file</t>
  </si>
  <si>
    <t>- Đúng 8 cột theo thứ tự: STT | Tên dịch vụ / chi phí | Phân loại | ĐM giảm giá (%) | % Tính giá vốn | % VAT | Trạng thái | Người tạo
- Phía trên có logo/thông tin công ty và tiêu đề 'Danh mục dịch vụ sửa chữa và chi phí khác'</t>
  </si>
  <si>
    <t>TC_07.003</t>
  </si>
  <si>
    <t>Xuất Excel theo đúng bộ lọc đang áp dụng</t>
  </si>
  <si>
    <t>Đang lọc Trạng thái = 'Khóa' (kết quả còn N dòng)</t>
  </si>
  <si>
    <t>1. Bấm 'Xuất Excel'
2. Đếm số dòng dữ liệu trong file</t>
  </si>
  <si>
    <t>- File CHỈ chứa đúng N dòng đang Khóa, không xuất cả 526 dòng</t>
  </si>
  <si>
    <t>TC_07.004</t>
  </si>
  <si>
    <t>Xuất Excel giữ đúng thứ tự sắp xếp</t>
  </si>
  <si>
    <t>1. Bấm 'Xuất Excel'
2. Đối chiếu thứ tự dòng trong file với trên lưới</t>
  </si>
  <si>
    <t>- Thứ tự dòng trong file khớp thứ tự đang hiển thị</t>
  </si>
  <si>
    <t>TC_07.005</t>
  </si>
  <si>
    <t>Cột phần trăm trong Excel làm tròn 2 chữ số</t>
  </si>
  <si>
    <t>Dịch vụ có % Tính giá vốn = 80 (lưới hiển thị '80%')</t>
  </si>
  <si>
    <t>1. Mở file, xem ô tương ứng</t>
  </si>
  <si>
    <t>rate_value_capital = 80</t>
  </si>
  <si>
    <t>- Trong file ghi '80.00' (làm tròn cố định 2 chữ số) — khác cách hiển thị trên lưới, đây là hành vi đúng hiện trạng, không phải bug</t>
  </si>
  <si>
    <t>TC_07.006</t>
  </si>
  <si>
    <t>Ô ĐM giảm giá rỗng khi không có chiết khấu</t>
  </si>
  <si>
    <t>Dịch vụ không có dòng `company_costs` cho công ty hiện tại</t>
  </si>
  <si>
    <t>1. Mở file, xem cột 'ĐM giảm giá (%)' của dòng đó</t>
  </si>
  <si>
    <t>- Ô để TRỐNG (không ghi 0.00, không ghi '—')</t>
  </si>
  <si>
    <t>TC_07.007</t>
  </si>
  <si>
    <t>Cột Người tạo trong Excel</t>
  </si>
  <si>
    <t>Dịch vụ do NV 'DNS01 - DNS Admin' tạo</t>
  </si>
  <si>
    <t>1. Mở file, xem cột 'Người tạo'</t>
  </si>
  <si>
    <t>created_by = DNS01</t>
  </si>
  <si>
    <t>- Ghi 'DNS01 - DNS Admin' (mã nhân viên - họ tên); là NGƯỜI TẠO, không phải người cập nhật</t>
  </si>
  <si>
    <t>TC_07.008</t>
  </si>
  <si>
    <t>Xuất Excel khi kết quả lọc rỗng</t>
  </si>
  <si>
    <t>Đang lọc bằng từ khóa không khớp dòng nào</t>
  </si>
  <si>
    <t>1. Bấm 'Xuất Excel'
2. Mở file</t>
  </si>
  <si>
    <t>- Vẫn tải được file, có tiêu đề và hàng header nhưng không có dòng dữ liệu, không lỗi</t>
  </si>
  <si>
    <t>TC_07.009</t>
  </si>
  <si>
    <t>Người chỉ có quyền Xem vẫn xuất được Excel</t>
  </si>
  <si>
    <t>1. Đăng nhập B, bấm 'Xuất Excel'</t>
  </si>
  <si>
    <t>- Nút 'Xuất Excel' hiển thị và tải file thành công (route export không đòi quyền quản lý)</t>
  </si>
  <si>
    <t>TC_07.010</t>
  </si>
  <si>
    <t>File Excel tải về có Authorization hợp lệ</t>
  </si>
  <si>
    <t>Đang đăng nhập bình thường</t>
  </si>
  <si>
    <t>1. Bấm 'Xuất Excel'
2. Kiểm tra tab Network request export</t>
  </si>
  <si>
    <t>- Request có header Authorization kèm token, trả 200 và đúng kiểu file xlsx
- KHÔNG trả về file lỗi / trang HTML đăng nhập</t>
  </si>
  <si>
    <t>VIII. EDGE CASES &amp; VALIDATION</t>
  </si>
  <si>
    <t>EDGE CASES &amp; VALIDATION</t>
  </si>
  <si>
    <t>TC_08.001</t>
  </si>
  <si>
    <t>Bỏ trống toàn bộ trường bắt buộc</t>
  </si>
  <si>
    <t>Đang mở form Tạo mới, chưa nhập gì</t>
  </si>
  <si>
    <t>1. Bấm 'Lưu' ngay</t>
  </si>
  <si>
    <t>name='', rate='', vat=''</t>
  </si>
  <si>
    <t>- BE trả 422, toast đỏ 'Bạn chưa nhập đầy đủ thông tin'
- Hiện lỗi đỏ 'Bắt buộc phải nhập' dưới CẢ 3 ô: Tên dịch vụ / chi phí, % Tính giá vốn, % VAT
- Modal KHÔNG đóng, không tạo bản ghi</t>
  </si>
  <si>
    <t>TC_08.002</t>
  </si>
  <si>
    <t>Bỏ trống Tên dịch vụ / chi phí</t>
  </si>
  <si>
    <t>Form Tạo mới</t>
  </si>
  <si>
    <t>1. Để trống Tên, nhập % Tính giá vốn = 50, % VAT = 8
2. Bấm 'Lưu'</t>
  </si>
  <si>
    <t>name = ''</t>
  </si>
  <si>
    <t>- BE 422, lỗi 'Bắt buộc phải nhập' ngay dưới ô Tên, ô viền đỏ</t>
  </si>
  <si>
    <t>TC_08.003</t>
  </si>
  <si>
    <t>Tên chỉ gồm khoảng trắng</t>
  </si>
  <si>
    <t>1. Nhập Tên = '     ' (chỉ dấu cách)
2. Nhập đủ 2 ô còn lại
3. Bấm 'Lưu'</t>
  </si>
  <si>
    <t>name = '     '</t>
  </si>
  <si>
    <t>- BE cắt khoảng trắng 2 đầu rồi coi như rỗng → 422 'Bắt buộc phải nhập'</t>
  </si>
  <si>
    <t>TC_08.004</t>
  </si>
  <si>
    <t>Tên vượt quá 255 ký tự</t>
  </si>
  <si>
    <t>1. Nhập Tên dài 256 ký tự
2. Nhập đủ trường khác
3. Bấm 'Lưu'</t>
  </si>
  <si>
    <t>len(name) = 256</t>
  </si>
  <si>
    <t>- BE 422, lỗi 'Tối đa 255 ký tự' dưới ô Tên</t>
  </si>
  <si>
    <t>TC_08.005</t>
  </si>
  <si>
    <t>Tên đúng 255 ký tự (biên trên)</t>
  </si>
  <si>
    <t>Form Tạo mới, chưa có bản ghi trùng tên đó</t>
  </si>
  <si>
    <t>1. Nhập Tên dài đúng 255 ký tự
2. Nhập đủ trường khác
3. Bấm 'Lưu'</t>
  </si>
  <si>
    <t>len(name) = 255</t>
  </si>
  <si>
    <t>- Lưu THÀNH CÔNG (255 là giá trị hợp lệ)</t>
  </si>
  <si>
    <t>TC_08.006</t>
  </si>
  <si>
    <t>Tên trùng bản ghi đã có</t>
  </si>
  <si>
    <t>Đã tồn tại dịch vụ tên 'Dịch vụ đánh bóng xy lanh'</t>
  </si>
  <si>
    <t>1. Tạo mới với Tên = 'Dịch vụ đánh bóng xy lanh'
2. Nhập đủ trường khác
3. Bấm 'Lưu'</t>
  </si>
  <si>
    <t>name trùng</t>
  </si>
  <si>
    <t>- BE 422, lỗi 'Đã tồn tại trên hệ thống' dưới ô Tên
- Không tạo bản ghi thứ 2</t>
  </si>
  <si>
    <t>TC_08.007</t>
  </si>
  <si>
    <t>Sửa trùng tên với bản ghi KHÁC</t>
  </si>
  <si>
    <t>Tồn tại 2 dịch vụ A và B khác tên nhau</t>
  </si>
  <si>
    <t>1. Sửa A, đổi tên A thành đúng tên của B
2. Bấm 'Lưu'</t>
  </si>
  <si>
    <t>name của A = name của B</t>
  </si>
  <si>
    <t>- BE 422, lỗi 'Đã tồn tại trên hệ thống'</t>
  </si>
  <si>
    <t>TC_08.008</t>
  </si>
  <si>
    <t>Trùng tên với bản ghi đang bị Khóa</t>
  </si>
  <si>
    <t>1. Tạo mới với Tên = 'test01111'
2. Bấm 'Lưu'</t>
  </si>
  <si>
    <t>name trùng bản ghi status=0</t>
  </si>
  <si>
    <t>- Vẫn báo trùng 422 'Đã tồn tại trên hệ thống' (điều kiện duy nhất không phân biệt trạng thái)</t>
  </si>
  <si>
    <t>TC_08.009</t>
  </si>
  <si>
    <t>Bỏ trống % Tính giá vốn</t>
  </si>
  <si>
    <t>1. Nhập Tên hợp lệ, để trống % Tính giá vốn, nhập % VAT = 8
2. Bấm 'Lưu'</t>
  </si>
  <si>
    <t>rate_value_capital = ''</t>
  </si>
  <si>
    <t>- BE 422, lỗi 'Bắt buộc phải nhập' dưới ô % Tính giá vốn</t>
  </si>
  <si>
    <t>TC_08.010</t>
  </si>
  <si>
    <t>% Tính giá vốn nhập chữ</t>
  </si>
  <si>
    <t>1. Nhập % Tính giá vốn = 'abc'
2. Bấm 'Lưu'</t>
  </si>
  <si>
    <t>rate_value_capital = 'abc'</t>
  </si>
  <si>
    <t>- BE 422, lỗi 'Phải là số'</t>
  </si>
  <si>
    <t>TC_08.011</t>
  </si>
  <si>
    <t>% Tính giá vốn nhập số âm</t>
  </si>
  <si>
    <t>1. Nhập % Tính giá vốn = -5
2. Bấm 'Lưu'</t>
  </si>
  <si>
    <t>rate_value_capital = -5</t>
  </si>
  <si>
    <t>- BE 422, lỗi 'Không được nhỏ hơn 0'</t>
  </si>
  <si>
    <t>TC_08.012</t>
  </si>
  <si>
    <t>% Tính giá vốn nhập 0 (biên dưới)</t>
  </si>
  <si>
    <t>1. Nhập % Tính giá vốn = 0, các trường khác hợp lệ
2. Bấm 'Lưu'</t>
  </si>
  <si>
    <t>rate_value_capital = 0</t>
  </si>
  <si>
    <t>- Lưu THÀNH CÔNG, lưới hiển thị '0%' (0 là hợp lệ, không được coi là bỏ trống)</t>
  </si>
  <si>
    <t>TC_08.013</t>
  </si>
  <si>
    <t>% Tính giá vốn lớn hơn 100</t>
  </si>
  <si>
    <t>1. Nhập % Tính giá vốn = 321
2. Nhập trường khác hợp lệ
3. Bấm 'Lưu'</t>
  </si>
  <si>
    <t>rate_value_capital = 321</t>
  </si>
  <si>
    <t>- Lưu THÀNH CÔNG — ô này CHỈ chặn ≥ 0, KHÔNG chặn trần 100 (dữ liệu thật đang có dòng 321%)
- Lưới hiển thị '321%'</t>
  </si>
  <si>
    <t>TC_08.014</t>
  </si>
  <si>
    <t>% Tính giá vốn nhập dấu phẩy thập phân</t>
  </si>
  <si>
    <t>1. Nhập % Tính giá vốn = '12,5'
2. Nhập trường khác hợp lệ
3. Bấm 'Lưu'
4. Mở lại form Sửa</t>
  </si>
  <si>
    <t>rate_value_capital = '12,5'</t>
  </si>
  <si>
    <t>- Lưu thành công với giá trị 12.5 (KHÔNG phải 125)
- Lưới hiển thị '12,5%'
- ⚠️ Đây là điểm dễ sai nhất của màn: dấu phẩy là dấu THẬP PHÂN, sai sẽ lệch 10 lần mà không báo lỗi</t>
  </si>
  <si>
    <t>TC_08.015</t>
  </si>
  <si>
    <t>% VAT bỏ trống</t>
  </si>
  <si>
    <t>1. Để trống % VAT, nhập đủ trường khác
2. Bấm 'Lưu'</t>
  </si>
  <si>
    <t>vat_percent = ''</t>
  </si>
  <si>
    <t>- BE 422, lỗi 'Bắt buộc phải nhập' dưới ô % VAT</t>
  </si>
  <si>
    <t>TC_08.016</t>
  </si>
  <si>
    <t>% VAT lớn hơn 100</t>
  </si>
  <si>
    <t>1. Nhập % VAT = 101
2. Bấm 'Lưu'</t>
  </si>
  <si>
    <t>vat_percent = 101</t>
  </si>
  <si>
    <t>- BE 422, lỗi 'Tối đa 100' dưới ô % VAT (KHÁC ô % Tính giá vốn — ô này CÓ chặn trần)</t>
  </si>
  <si>
    <t>TC_08.017</t>
  </si>
  <si>
    <t>% VAT đúng 100 (biên trên)</t>
  </si>
  <si>
    <t>1. Nhập % VAT = 100
2. Bấm 'Lưu'</t>
  </si>
  <si>
    <t>vat_percent = 100</t>
  </si>
  <si>
    <t>- Lưu THÀNH CÔNG, lưới hiển thị '100%'</t>
  </si>
  <si>
    <t>TC_08.018</t>
  </si>
  <si>
    <t>% VAT âm</t>
  </si>
  <si>
    <t>1. Nhập % VAT = -1
2. Bấm 'Lưu'</t>
  </si>
  <si>
    <t>vat_percent = -1</t>
  </si>
  <si>
    <t>- BE 422, báo lỗi ở ô % VAT, không lưu</t>
  </si>
  <si>
    <t>TC_08.019</t>
  </si>
  <si>
    <t>% VAT nhập chữ</t>
  </si>
  <si>
    <t>1. Nhập % VAT = 'tám'
2. Bấm 'Lưu'</t>
  </si>
  <si>
    <t>vat_percent = 'tám'</t>
  </si>
  <si>
    <t>TC_08.020</t>
  </si>
  <si>
    <t>ĐM giảm giá lớn hơn 100</t>
  </si>
  <si>
    <t>1. Nhập ĐM giảm giá = 150
2. Nhập trường khác hợp lệ
3. Bấm 'Lưu'</t>
  </si>
  <si>
    <t>discount = 150</t>
  </si>
  <si>
    <t>- BE 422, lỗi 'Tối đa 100' dưới ô ĐM giảm giá</t>
  </si>
  <si>
    <t>TC_08.021</t>
  </si>
  <si>
    <t>ĐM giảm giá âm</t>
  </si>
  <si>
    <t>1. Nhập ĐM giảm giá = -3
2. Bấm 'Lưu'</t>
  </si>
  <si>
    <t>discount = -3</t>
  </si>
  <si>
    <t>- BE 422, báo lỗi ở ô ĐM giảm giá, không lưu</t>
  </si>
  <si>
    <t>TC_08.022</t>
  </si>
  <si>
    <t>ĐM giảm giá nhập chữ</t>
  </si>
  <si>
    <t>1. Nhập ĐM giảm giá = 'abc'
2. Bấm 'Lưu'</t>
  </si>
  <si>
    <t>discount = 'abc'</t>
  </si>
  <si>
    <t>TC_08.023</t>
  </si>
  <si>
    <t>ĐM giảm giá nhập dấu phẩy thập phân</t>
  </si>
  <si>
    <t>1. Nhập ĐM giảm giá = '7,5'
2. Bấm 'Lưu'
3. Mở lại form Sửa</t>
  </si>
  <si>
    <t>discount = '7,5'</t>
  </si>
  <si>
    <t>- Lưu thành công với giá trị 7.5, lưới hiển thị '7,5%'</t>
  </si>
  <si>
    <t>TC_08.024</t>
  </si>
  <si>
    <t>Trạng thái gửi giá trị không hợp lệ</t>
  </si>
  <si>
    <t>Đang sửa dịch vụ X</t>
  </si>
  <si>
    <t>1. Postman gọi PUT /customer-care/costs/{X} với `status = 5`</t>
  </si>
  <si>
    <t>status = 5</t>
  </si>
  <si>
    <t>- BE 422, lỗi 'Trạng thái không hợp lệ' (chỉ chấp nhận 0 hoặc 1)</t>
  </si>
  <si>
    <t>TC_08.025</t>
  </si>
  <si>
    <t>Sửa được rồi lỗi vẫn hiện đúng ô</t>
  </si>
  <si>
    <t>Form Sửa, đang có lỗi ở % VAT</t>
  </si>
  <si>
    <t>1. Bấm Lưu với % VAT = 101 (thấy lỗi)
2. Sửa % VAT = 8
3. Bấm 'Lưu' lần nữa</t>
  </si>
  <si>
    <t>101 → 8</t>
  </si>
  <si>
    <t>- Lần 2 lưu thành công, lỗi đỏ ở ô % VAT biến mất</t>
  </si>
  <si>
    <t>TC_08.026</t>
  </si>
  <si>
    <t>Thao tác lên bản ghi kind_of khác</t>
  </si>
  <si>
    <t>Tồn tại bản ghi `costs` có `kind_of = 1` với id = K (thuộc Chi phí phải trả bên ERP)</t>
  </si>
  <si>
    <t>1. Postman gọi lần lượt GET /customer-care/costs/{K}, PUT, DELETE, GET /{K}/lock, GET /{K}/usage</t>
  </si>
  <si>
    <t>kind_of = 1</t>
  </si>
  <si>
    <t>- TẤT CẢ request đều trả 400 'Bản ghi không thuộc danh mục dịch vụ sửa chữa và chi phí khác'
- Dữ liệu của bản ghi K không bị thay đổi</t>
  </si>
  <si>
    <t>TC_08.027</t>
  </si>
  <si>
    <t>Xem chi tiết id không tồn tại</t>
  </si>
  <si>
    <t>id 99999999 không có trong bảng `costs`</t>
  </si>
  <si>
    <t>1. Postman gọi GET /customer-care/costs/99999999</t>
  </si>
  <si>
    <t>id = 99999999</t>
  </si>
  <si>
    <t>- BE trả 404, không lỗi 500
- Trên UI: toast 'Dữ liệu đã thay đổi, vui lòng tải lại', modal không mở</t>
  </si>
  <si>
    <t>TC_08.028</t>
  </si>
  <si>
    <t>Ký tự đặc biệt và tiếng Việt có dấu trong tên</t>
  </si>
  <si>
    <t>1. Nhập Tên = "Dịch vụ kiểm tra &amp; sửa chữa (100%) - Điện/Nước"
2. Bấm 'Lưu'</t>
  </si>
  <si>
    <t>tên có &amp;, %, (), /, dấu tiếng Việt</t>
  </si>
  <si>
    <t>- Lưu thành công, tên hiển thị nguyên vẹn trên lưới, trong modal Sửa và trong file Excel
- Không bị escape sai thành &amp;amp;</t>
  </si>
  <si>
    <t>IX. CÔ LẬP DỮ LIỆU &amp; ĐỒNG THỜI</t>
  </si>
  <si>
    <t>CÔ LẬP DỮ LIỆU &amp; ĐỒNG THỜI</t>
  </si>
  <si>
    <t>TC_09.001</t>
  </si>
  <si>
    <t>Hai người cùng sửa 1 dịch vụ</t>
  </si>
  <si>
    <t>User C và User D cùng mở form Sửa dịch vụ X, đều có quyền quản lý</t>
  </si>
  <si>
    <t>1. C đổi Tên rồi Lưu
2. D (không tải lại) đổi % VAT rồi Lưu
3. Đối chiếu bản ghi trong DB</t>
  </si>
  <si>
    <t>2 phiên song song</t>
  </si>
  <si>
    <t>- Cả 2 lần lưu đều trả kết quả rõ ràng (thành công hoặc lỗi có thông báo)
- Bản ghi không bị mất trường một cách âm thầm; `updated_by` là người lưu sau</t>
  </si>
  <si>
    <t>TC_09.002</t>
  </si>
  <si>
    <t>Sửa dịch vụ vừa bị người khác xóa</t>
  </si>
  <si>
    <t>User C đang mở form Sửa dịch vụ X; User D xóa X ở phiên khác</t>
  </si>
  <si>
    <t>1. C bấm 'Lưu'</t>
  </si>
  <si>
    <t>id đã bị xóa</t>
  </si>
  <si>
    <t>- BE trả 404, có thông báo rõ ràng, không lỗi 500, trang không trắng</t>
  </si>
  <si>
    <t>TC_09.003</t>
  </si>
  <si>
    <t>Thu hồi quyền khi người dùng đang mở form</t>
  </si>
  <si>
    <t>User C đang mở form Sửa với quyền quản lý</t>
  </si>
  <si>
    <t>1. Quản trị gỡ quyền 'Quản lý dịch vụ sửa chữa và chi phí khác' của C
2. C (không tải lại trang) bấm 'Lưu'
3. C tải lại trang</t>
  </si>
  <si>
    <t>gỡ quyền lúc form đang mở</t>
  </si>
  <si>
    <t>- Bấm Lưu: BE trả 403, dữ liệu KHÔNG bị ghi
- Sau khi tải lại: nút Tạo mới / Sửa / Xóa / ổ khóa biến mất</t>
  </si>
  <si>
    <t>TC_09.004</t>
  </si>
  <si>
    <t>Đổi công ty đang chọn rồi quay lại màn</t>
  </si>
  <si>
    <t>User E được gán nhiều công ty; dịch vụ X có chiết khấu khác nhau ở 2 công ty</t>
  </si>
  <si>
    <t>1. Ở công ty 1, xem cột 'ĐM giảm giá' của X
2. Đổi sang công ty 4
3. Vào lại màn, xem lại X</t>
  </si>
  <si>
    <t>current_company_role: 1 → 4</t>
  </si>
  <si>
    <t>- Giá trị 'ĐM giảm giá' đổi theo công ty vừa chọn
- Các cột còn lại (tên, % giá vốn, % VAT, trạng thái) KHÔNG đổi</t>
  </si>
  <si>
    <t>TC_09.005</t>
  </si>
  <si>
    <t>Sửa chiết khấu không ảnh hưởng công ty khác</t>
  </si>
  <si>
    <t>Dịch vụ X: công ty 1 → 5%, công ty 4 → 12%. User C thuộc công ty 1</t>
  </si>
  <si>
    <t>1. C sửa X, đổi ĐM giảm giá thành 20
2. Lưu
3. Đăng nhập user thuộc công ty 4, xem lại X</t>
  </si>
  <si>
    <t>discount công ty 1: 5 → 20</t>
  </si>
  <si>
    <t>- Công ty 1 thấy 20%
- Công ty 4 VẪN thấy 12% (không bị ghi đè)</t>
  </si>
  <si>
    <t>TC_09.006</t>
  </si>
  <si>
    <t>Dữ liệu dùng chung với cổng ERP</t>
  </si>
  <si>
    <t>Cùng bản ghi `costs` id = X</t>
  </si>
  <si>
    <t>1. Sửa % VAT của X trên HRM
2. Mở màn ERP `admin/accounting/costs?kind_of=2`, tìm X</t>
  </si>
  <si>
    <t>1 bảng, 2 cổng</t>
  </si>
  <si>
    <t>- Bản ghi trên ERP hiển thị đúng giá trị vừa sửa bên HRM (2 cổng dùng chung bảng `costs` trên DB gộp)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</si>
</sst>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2"/>
      <name val="Times New Roman"/>
    </font>
    <font>
      <sz val="12"/>
      <name val="Times New Roman"/>
    </font>
    <font>
      <b/>
      <sz val="15"/>
      <color rgb="FFFFFFFF"/>
      <name val="Times New Roman"/>
    </font>
    <font>
      <b/>
      <sz val="12"/>
      <color rgb="FFFFFFFF"/>
      <name val="Times New Roman"/>
    </font>
    <font>
      <b/>
      <sz val="12"/>
      <color rgb="FF1F4E79"/>
      <name val="Times New Roman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00FF00"/>
      </patternFill>
    </fill>
    <fill>
      <patternFill patternType="solid">
        <fgColor rgb="FFFFFFFF"/>
      </patternFill>
    </fill>
    <fill>
      <patternFill patternType="solid">
        <fgColor rgb="FFD6E4F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2" fillId="0" borderId="1" xfId="0" applyFont="1" applyBorder="1" applyAlignment="1">
      <alignment horizontal="left" vertical="center" wrapText="1"/>
    </xf>
    <xf numFmtId="0" fontId="2" fillId="4" borderId="0" xfId="0" applyFont="1" applyFill="1" applyAlignment="1">
      <alignment horizontal="left" vertical="center" wrapText="1"/>
    </xf>
    <xf numFmtId="0" fontId="0" fillId="0" borderId="0" xfId="0"/>
    <xf numFmtId="0" fontId="1" fillId="4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2" fillId="5" borderId="0" xfId="0" applyFont="1" applyFill="1" applyAlignment="1">
      <alignment horizontal="left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67"/>
  <sheetViews>
    <sheetView tabSelected="1" topLeftCell="A10" zoomScale="70" zoomScaleNormal="70" workbookViewId="0">
      <selection activeCell="I20" sqref="I20"/>
    </sheetView>
  </sheetViews>
  <sheetFormatPr defaultRowHeight="14.5" x14ac:dyDescent="0.35"/>
  <cols>
    <col min="1" max="1" width="23.7265625" bestFit="1" customWidth="1"/>
    <col min="2" max="2" width="42.54296875" bestFit="1" customWidth="1"/>
    <col min="3" max="3" width="13.90625" bestFit="1" customWidth="1"/>
    <col min="4" max="4" width="38.1796875" bestFit="1" customWidth="1"/>
    <col min="5" max="5" width="8.36328125" bestFit="1" customWidth="1"/>
    <col min="6" max="6" width="41.453125" bestFit="1" customWidth="1"/>
    <col min="7" max="7" width="35" bestFit="1" customWidth="1"/>
    <col min="8" max="8" width="22.453125" bestFit="1" customWidth="1"/>
    <col min="9" max="9" width="83.7265625" bestFit="1" customWidth="1"/>
    <col min="10" max="10" width="12.36328125" bestFit="1" customWidth="1"/>
    <col min="11" max="13" width="13.7265625" bestFit="1" customWidth="1"/>
    <col min="14" max="14" width="9.54296875" bestFit="1" customWidth="1"/>
    <col min="15" max="17" width="10.1796875" bestFit="1" customWidth="1"/>
  </cols>
  <sheetData>
    <row r="1" spans="1:17" ht="22" customHeight="1" x14ac:dyDescent="0.35">
      <c r="A1" s="14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7" ht="49" customHeight="1" x14ac:dyDescent="0.35">
      <c r="A2" s="1" t="s">
        <v>1</v>
      </c>
      <c r="B2" s="9" t="s">
        <v>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8"/>
    </row>
    <row r="3" spans="1:17" ht="100" customHeight="1" x14ac:dyDescent="0.35">
      <c r="A3" s="1" t="s">
        <v>3</v>
      </c>
      <c r="B3" s="9" t="s">
        <v>4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8"/>
    </row>
    <row r="4" spans="1:17" ht="117" customHeight="1" x14ac:dyDescent="0.35">
      <c r="A4" s="1" t="s">
        <v>5</v>
      </c>
      <c r="B4" s="9" t="s">
        <v>6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8"/>
    </row>
    <row r="5" spans="1:17" ht="83" customHeight="1" x14ac:dyDescent="0.35">
      <c r="A5" s="1" t="s">
        <v>7</v>
      </c>
      <c r="B5" s="9" t="s">
        <v>8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8"/>
    </row>
    <row r="6" spans="1:17" ht="83" customHeight="1" x14ac:dyDescent="0.35">
      <c r="A6" s="1" t="s">
        <v>9</v>
      </c>
      <c r="B6" s="9" t="s">
        <v>10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</row>
    <row r="7" spans="1:17" ht="100" customHeight="1" x14ac:dyDescent="0.35">
      <c r="A7" s="1" t="s">
        <v>11</v>
      </c>
      <c r="B7" s="9" t="s">
        <v>12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8"/>
    </row>
    <row r="8" spans="1:17" ht="117" customHeight="1" x14ac:dyDescent="0.35">
      <c r="A8" s="1" t="s">
        <v>13</v>
      </c>
      <c r="B8" s="9" t="s">
        <v>14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8"/>
    </row>
    <row r="9" spans="1:17" ht="83" customHeight="1" x14ac:dyDescent="0.35">
      <c r="A9" s="1" t="s">
        <v>15</v>
      </c>
      <c r="B9" s="9" t="s">
        <v>16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8"/>
    </row>
    <row r="10" spans="1:17" ht="117" customHeight="1" x14ac:dyDescent="0.35">
      <c r="A10" s="1" t="s">
        <v>17</v>
      </c>
      <c r="B10" s="9" t="s">
        <v>18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8"/>
    </row>
    <row r="11" spans="1:17" ht="24" customHeight="1" x14ac:dyDescent="0.35">
      <c r="A11" s="13" t="s">
        <v>19</v>
      </c>
      <c r="B11" s="11"/>
      <c r="C11" s="11"/>
      <c r="D11" s="11"/>
      <c r="E11" s="11"/>
      <c r="F11" s="17" t="s">
        <v>20</v>
      </c>
      <c r="G11" s="11"/>
      <c r="H11" s="11"/>
      <c r="I11" s="10" t="s">
        <v>21</v>
      </c>
      <c r="J11" s="11"/>
      <c r="K11" s="12">
        <f>COUNTIF(K18:M1000,"Passed")</f>
        <v>0</v>
      </c>
      <c r="L11" s="8"/>
      <c r="M11" s="15" t="s">
        <v>22</v>
      </c>
      <c r="N11" s="11"/>
      <c r="O11" s="16">
        <f>COUNTIF(O18:Q1000,"P")</f>
        <v>0</v>
      </c>
      <c r="P11" s="7"/>
      <c r="Q11" s="8"/>
    </row>
    <row r="12" spans="1:17" ht="24" customHeight="1" x14ac:dyDescent="0.35">
      <c r="F12" s="11"/>
      <c r="G12" s="11"/>
      <c r="H12" s="11"/>
      <c r="I12" s="10" t="s">
        <v>23</v>
      </c>
      <c r="J12" s="11"/>
      <c r="K12" s="12">
        <f>COUNTIF(K18:M1000,"Failed")</f>
        <v>0</v>
      </c>
      <c r="L12" s="8"/>
      <c r="M12" s="15" t="s">
        <v>24</v>
      </c>
      <c r="N12" s="11"/>
      <c r="O12" s="16">
        <f>COUNTIF(O18:Q1000,"F")</f>
        <v>0</v>
      </c>
      <c r="P12" s="7"/>
      <c r="Q12" s="8"/>
    </row>
    <row r="13" spans="1:17" ht="24" customHeight="1" x14ac:dyDescent="0.35">
      <c r="F13" s="11"/>
      <c r="G13" s="11"/>
      <c r="H13" s="11"/>
      <c r="I13" s="10" t="s">
        <v>25</v>
      </c>
      <c r="J13" s="11"/>
      <c r="K13" s="12">
        <f>COUNTIF(K18:M1000,"Pending")</f>
        <v>0</v>
      </c>
      <c r="L13" s="8"/>
      <c r="M13" s="15" t="s">
        <v>26</v>
      </c>
      <c r="N13" s="11"/>
      <c r="O13" s="16">
        <f>COUNTIF(O18:Q1000,"PE")</f>
        <v>0</v>
      </c>
      <c r="P13" s="7"/>
      <c r="Q13" s="8"/>
    </row>
    <row r="14" spans="1:17" ht="24" customHeight="1" x14ac:dyDescent="0.35">
      <c r="F14" s="11"/>
      <c r="G14" s="11"/>
      <c r="H14" s="11"/>
      <c r="I14" s="10" t="s">
        <v>27</v>
      </c>
      <c r="J14" s="11"/>
      <c r="K14" s="12">
        <f>COUNTIF(K18:K1000,"Not Executed")</f>
        <v>140</v>
      </c>
      <c r="L14" s="8"/>
      <c r="M14" s="15" t="s">
        <v>28</v>
      </c>
      <c r="N14" s="11"/>
      <c r="O14" s="16">
        <f>COUNTIF(O18:O1000,"")</f>
        <v>983</v>
      </c>
      <c r="P14" s="7"/>
      <c r="Q14" s="8"/>
    </row>
    <row r="15" spans="1:17" ht="24" customHeight="1" x14ac:dyDescent="0.35">
      <c r="F15" s="11"/>
      <c r="G15" s="11"/>
      <c r="H15" s="11"/>
      <c r="I15" s="10" t="s">
        <v>29</v>
      </c>
      <c r="J15" s="11"/>
      <c r="K15" s="12">
        <f>COUNTIF(K18:K1000,"&lt;&gt;")</f>
        <v>140</v>
      </c>
      <c r="L15" s="8"/>
      <c r="M15" s="15" t="s">
        <v>30</v>
      </c>
      <c r="N15" s="11"/>
      <c r="O15" s="16">
        <f>COUNTIF(C18:C1000,"TC*")</f>
        <v>140</v>
      </c>
      <c r="P15" s="7"/>
      <c r="Q15" s="8"/>
    </row>
    <row r="16" spans="1:17" ht="8" customHeight="1" x14ac:dyDescent="0.35"/>
    <row r="17" spans="1:17" ht="30" x14ac:dyDescent="0.35">
      <c r="A17" s="2" t="s">
        <v>31</v>
      </c>
      <c r="B17" s="2" t="s">
        <v>32</v>
      </c>
      <c r="C17" s="2" t="s">
        <v>33</v>
      </c>
      <c r="D17" s="2" t="s">
        <v>34</v>
      </c>
      <c r="E17" s="2" t="s">
        <v>35</v>
      </c>
      <c r="F17" s="2" t="s">
        <v>36</v>
      </c>
      <c r="G17" s="2" t="s">
        <v>37</v>
      </c>
      <c r="H17" s="2" t="s">
        <v>38</v>
      </c>
      <c r="I17" s="2" t="s">
        <v>39</v>
      </c>
      <c r="J17" s="2" t="s">
        <v>40</v>
      </c>
      <c r="K17" s="2" t="s">
        <v>41</v>
      </c>
      <c r="L17" s="2" t="s">
        <v>42</v>
      </c>
      <c r="M17" s="2" t="s">
        <v>43</v>
      </c>
      <c r="N17" s="2" t="s">
        <v>44</v>
      </c>
      <c r="O17" s="2" t="s">
        <v>45</v>
      </c>
      <c r="P17" s="2" t="s">
        <v>46</v>
      </c>
      <c r="Q17" s="2" t="s">
        <v>47</v>
      </c>
    </row>
    <row r="18" spans="1:17" ht="15.5" x14ac:dyDescent="0.35">
      <c r="A18" s="3"/>
      <c r="B18" s="3"/>
      <c r="C18" s="6" t="s">
        <v>48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8"/>
    </row>
    <row r="19" spans="1:17" ht="139.5" x14ac:dyDescent="0.35">
      <c r="A19" s="4" t="s">
        <v>49</v>
      </c>
      <c r="B19" s="4" t="s">
        <v>48</v>
      </c>
      <c r="C19" s="5" t="s">
        <v>50</v>
      </c>
      <c r="D19" s="4" t="s">
        <v>51</v>
      </c>
      <c r="E19" s="5" t="s">
        <v>52</v>
      </c>
      <c r="F19" s="4" t="s">
        <v>53</v>
      </c>
      <c r="G19" s="4" t="s">
        <v>54</v>
      </c>
      <c r="H19" s="4" t="s">
        <v>55</v>
      </c>
      <c r="I19" s="4" t="s">
        <v>56</v>
      </c>
      <c r="J19" s="4"/>
      <c r="K19" s="5" t="s">
        <v>57</v>
      </c>
      <c r="L19" s="5" t="s">
        <v>57</v>
      </c>
      <c r="M19" s="5" t="s">
        <v>57</v>
      </c>
      <c r="N19" s="4"/>
      <c r="O19" s="5"/>
      <c r="P19" s="5"/>
      <c r="Q19" s="5"/>
    </row>
    <row r="20" spans="1:17" ht="124" x14ac:dyDescent="0.35">
      <c r="A20" s="4" t="s">
        <v>49</v>
      </c>
      <c r="B20" s="4" t="s">
        <v>48</v>
      </c>
      <c r="C20" s="5" t="s">
        <v>58</v>
      </c>
      <c r="D20" s="4" t="s">
        <v>59</v>
      </c>
      <c r="E20" s="5" t="s">
        <v>52</v>
      </c>
      <c r="F20" s="4" t="s">
        <v>60</v>
      </c>
      <c r="G20" s="4" t="s">
        <v>61</v>
      </c>
      <c r="H20" s="4" t="s">
        <v>62</v>
      </c>
      <c r="I20" s="4" t="s">
        <v>63</v>
      </c>
      <c r="J20" s="4"/>
      <c r="K20" s="5" t="s">
        <v>57</v>
      </c>
      <c r="L20" s="5" t="s">
        <v>57</v>
      </c>
      <c r="M20" s="5" t="s">
        <v>57</v>
      </c>
      <c r="N20" s="4"/>
      <c r="O20" s="5"/>
      <c r="P20" s="5"/>
      <c r="Q20" s="5"/>
    </row>
    <row r="21" spans="1:17" ht="108.5" x14ac:dyDescent="0.35">
      <c r="A21" s="4" t="s">
        <v>49</v>
      </c>
      <c r="B21" s="4" t="s">
        <v>48</v>
      </c>
      <c r="C21" s="5" t="s">
        <v>64</v>
      </c>
      <c r="D21" s="4" t="s">
        <v>65</v>
      </c>
      <c r="E21" s="5" t="s">
        <v>52</v>
      </c>
      <c r="F21" s="4" t="s">
        <v>66</v>
      </c>
      <c r="G21" s="4" t="s">
        <v>67</v>
      </c>
      <c r="H21" s="4" t="s">
        <v>68</v>
      </c>
      <c r="I21" s="4" t="s">
        <v>69</v>
      </c>
      <c r="J21" s="4"/>
      <c r="K21" s="5" t="s">
        <v>57</v>
      </c>
      <c r="L21" s="5" t="s">
        <v>57</v>
      </c>
      <c r="M21" s="5" t="s">
        <v>57</v>
      </c>
      <c r="N21" s="4"/>
      <c r="O21" s="5"/>
      <c r="P21" s="5"/>
      <c r="Q21" s="5"/>
    </row>
    <row r="22" spans="1:17" ht="46.5" x14ac:dyDescent="0.35">
      <c r="A22" s="4" t="s">
        <v>49</v>
      </c>
      <c r="B22" s="4" t="s">
        <v>48</v>
      </c>
      <c r="C22" s="5" t="s">
        <v>70</v>
      </c>
      <c r="D22" s="4" t="s">
        <v>71</v>
      </c>
      <c r="E22" s="5" t="s">
        <v>52</v>
      </c>
      <c r="F22" s="4" t="s">
        <v>72</v>
      </c>
      <c r="G22" s="4" t="s">
        <v>73</v>
      </c>
      <c r="H22" s="4" t="s">
        <v>74</v>
      </c>
      <c r="I22" s="4" t="s">
        <v>75</v>
      </c>
      <c r="J22" s="4"/>
      <c r="K22" s="5" t="s">
        <v>57</v>
      </c>
      <c r="L22" s="5" t="s">
        <v>57</v>
      </c>
      <c r="M22" s="5" t="s">
        <v>57</v>
      </c>
      <c r="N22" s="4"/>
      <c r="O22" s="5"/>
      <c r="P22" s="5"/>
      <c r="Q22" s="5"/>
    </row>
    <row r="23" spans="1:17" ht="108.5" x14ac:dyDescent="0.35">
      <c r="A23" s="4" t="s">
        <v>49</v>
      </c>
      <c r="B23" s="4" t="s">
        <v>48</v>
      </c>
      <c r="C23" s="5" t="s">
        <v>76</v>
      </c>
      <c r="D23" s="4" t="s">
        <v>77</v>
      </c>
      <c r="E23" s="5" t="s">
        <v>52</v>
      </c>
      <c r="F23" s="4" t="s">
        <v>78</v>
      </c>
      <c r="G23" s="4" t="s">
        <v>79</v>
      </c>
      <c r="H23" s="4" t="s">
        <v>80</v>
      </c>
      <c r="I23" s="4" t="s">
        <v>81</v>
      </c>
      <c r="J23" s="4"/>
      <c r="K23" s="5" t="s">
        <v>57</v>
      </c>
      <c r="L23" s="5" t="s">
        <v>57</v>
      </c>
      <c r="M23" s="5" t="s">
        <v>57</v>
      </c>
      <c r="N23" s="4"/>
      <c r="O23" s="5"/>
      <c r="P23" s="5"/>
      <c r="Q23" s="5"/>
    </row>
    <row r="24" spans="1:17" ht="93" x14ac:dyDescent="0.35">
      <c r="A24" s="4" t="s">
        <v>49</v>
      </c>
      <c r="B24" s="4" t="s">
        <v>48</v>
      </c>
      <c r="C24" s="5" t="s">
        <v>82</v>
      </c>
      <c r="D24" s="4" t="s">
        <v>83</v>
      </c>
      <c r="E24" s="5" t="s">
        <v>52</v>
      </c>
      <c r="F24" s="4" t="s">
        <v>84</v>
      </c>
      <c r="G24" s="4" t="s">
        <v>85</v>
      </c>
      <c r="H24" s="4" t="s">
        <v>86</v>
      </c>
      <c r="I24" s="4" t="s">
        <v>87</v>
      </c>
      <c r="J24" s="4"/>
      <c r="K24" s="5" t="s">
        <v>57</v>
      </c>
      <c r="L24" s="5" t="s">
        <v>57</v>
      </c>
      <c r="M24" s="5" t="s">
        <v>57</v>
      </c>
      <c r="N24" s="4"/>
      <c r="O24" s="5"/>
      <c r="P24" s="5"/>
      <c r="Q24" s="5"/>
    </row>
    <row r="25" spans="1:17" ht="186" x14ac:dyDescent="0.35">
      <c r="A25" s="4" t="s">
        <v>49</v>
      </c>
      <c r="B25" s="4" t="s">
        <v>48</v>
      </c>
      <c r="C25" s="5" t="s">
        <v>88</v>
      </c>
      <c r="D25" s="4" t="s">
        <v>89</v>
      </c>
      <c r="E25" s="5" t="s">
        <v>52</v>
      </c>
      <c r="F25" s="4" t="s">
        <v>90</v>
      </c>
      <c r="G25" s="4" t="s">
        <v>91</v>
      </c>
      <c r="H25" s="4" t="s">
        <v>92</v>
      </c>
      <c r="I25" s="4" t="s">
        <v>93</v>
      </c>
      <c r="J25" s="4"/>
      <c r="K25" s="5" t="s">
        <v>57</v>
      </c>
      <c r="L25" s="5" t="s">
        <v>57</v>
      </c>
      <c r="M25" s="5" t="s">
        <v>57</v>
      </c>
      <c r="N25" s="4"/>
      <c r="O25" s="5"/>
      <c r="P25" s="5"/>
      <c r="Q25" s="5"/>
    </row>
    <row r="26" spans="1:17" ht="108.5" x14ac:dyDescent="0.35">
      <c r="A26" s="4" t="s">
        <v>49</v>
      </c>
      <c r="B26" s="4" t="s">
        <v>48</v>
      </c>
      <c r="C26" s="5" t="s">
        <v>94</v>
      </c>
      <c r="D26" s="4" t="s">
        <v>95</v>
      </c>
      <c r="E26" s="5" t="s">
        <v>52</v>
      </c>
      <c r="F26" s="4" t="s">
        <v>96</v>
      </c>
      <c r="G26" s="4" t="s">
        <v>97</v>
      </c>
      <c r="H26" s="4" t="s">
        <v>98</v>
      </c>
      <c r="I26" s="4" t="s">
        <v>99</v>
      </c>
      <c r="J26" s="4"/>
      <c r="K26" s="5" t="s">
        <v>57</v>
      </c>
      <c r="L26" s="5" t="s">
        <v>57</v>
      </c>
      <c r="M26" s="5" t="s">
        <v>57</v>
      </c>
      <c r="N26" s="4"/>
      <c r="O26" s="5"/>
      <c r="P26" s="5"/>
      <c r="Q26" s="5"/>
    </row>
    <row r="27" spans="1:17" ht="124" x14ac:dyDescent="0.35">
      <c r="A27" s="4" t="s">
        <v>49</v>
      </c>
      <c r="B27" s="4" t="s">
        <v>48</v>
      </c>
      <c r="C27" s="5" t="s">
        <v>100</v>
      </c>
      <c r="D27" s="4" t="s">
        <v>101</v>
      </c>
      <c r="E27" s="5" t="s">
        <v>52</v>
      </c>
      <c r="F27" s="4" t="s">
        <v>102</v>
      </c>
      <c r="G27" s="4" t="s">
        <v>103</v>
      </c>
      <c r="H27" s="4" t="s">
        <v>104</v>
      </c>
      <c r="I27" s="4" t="s">
        <v>105</v>
      </c>
      <c r="J27" s="4"/>
      <c r="K27" s="5" t="s">
        <v>57</v>
      </c>
      <c r="L27" s="5" t="s">
        <v>57</v>
      </c>
      <c r="M27" s="5" t="s">
        <v>57</v>
      </c>
      <c r="N27" s="4"/>
      <c r="O27" s="5"/>
      <c r="P27" s="5"/>
      <c r="Q27" s="5"/>
    </row>
    <row r="28" spans="1:17" ht="93" x14ac:dyDescent="0.35">
      <c r="A28" s="4" t="s">
        <v>49</v>
      </c>
      <c r="B28" s="4" t="s">
        <v>48</v>
      </c>
      <c r="C28" s="5" t="s">
        <v>106</v>
      </c>
      <c r="D28" s="4" t="s">
        <v>107</v>
      </c>
      <c r="E28" s="5" t="s">
        <v>108</v>
      </c>
      <c r="F28" s="4" t="s">
        <v>109</v>
      </c>
      <c r="G28" s="4" t="s">
        <v>110</v>
      </c>
      <c r="H28" s="4" t="s">
        <v>111</v>
      </c>
      <c r="I28" s="4" t="s">
        <v>112</v>
      </c>
      <c r="J28" s="4"/>
      <c r="K28" s="5" t="s">
        <v>57</v>
      </c>
      <c r="L28" s="5" t="s">
        <v>57</v>
      </c>
      <c r="M28" s="5" t="s">
        <v>57</v>
      </c>
      <c r="N28" s="4"/>
      <c r="O28" s="5"/>
      <c r="P28" s="5"/>
      <c r="Q28" s="5"/>
    </row>
    <row r="29" spans="1:17" ht="15.5" x14ac:dyDescent="0.35">
      <c r="A29" s="3"/>
      <c r="B29" s="3"/>
      <c r="C29" s="6" t="s">
        <v>113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8"/>
    </row>
    <row r="30" spans="1:17" ht="124" x14ac:dyDescent="0.35">
      <c r="A30" s="4" t="s">
        <v>49</v>
      </c>
      <c r="B30" s="4" t="s">
        <v>114</v>
      </c>
      <c r="C30" s="5" t="s">
        <v>115</v>
      </c>
      <c r="D30" s="4" t="s">
        <v>116</v>
      </c>
      <c r="E30" s="5" t="s">
        <v>52</v>
      </c>
      <c r="F30" s="4" t="s">
        <v>117</v>
      </c>
      <c r="G30" s="4" t="s">
        <v>118</v>
      </c>
      <c r="H30" s="4" t="s">
        <v>119</v>
      </c>
      <c r="I30" s="4" t="s">
        <v>120</v>
      </c>
      <c r="J30" s="4"/>
      <c r="K30" s="5" t="s">
        <v>57</v>
      </c>
      <c r="L30" s="5" t="s">
        <v>57</v>
      </c>
      <c r="M30" s="5" t="s">
        <v>57</v>
      </c>
      <c r="N30" s="4"/>
      <c r="O30" s="5"/>
      <c r="P30" s="5"/>
      <c r="Q30" s="5"/>
    </row>
    <row r="31" spans="1:17" ht="93" x14ac:dyDescent="0.35">
      <c r="A31" s="4" t="s">
        <v>49</v>
      </c>
      <c r="B31" s="4" t="s">
        <v>114</v>
      </c>
      <c r="C31" s="5" t="s">
        <v>121</v>
      </c>
      <c r="D31" s="4" t="s">
        <v>122</v>
      </c>
      <c r="E31" s="5" t="s">
        <v>52</v>
      </c>
      <c r="F31" s="4" t="s">
        <v>123</v>
      </c>
      <c r="G31" s="4" t="s">
        <v>124</v>
      </c>
      <c r="H31" s="4" t="s">
        <v>125</v>
      </c>
      <c r="I31" s="4" t="s">
        <v>126</v>
      </c>
      <c r="J31" s="4"/>
      <c r="K31" s="5" t="s">
        <v>57</v>
      </c>
      <c r="L31" s="5" t="s">
        <v>57</v>
      </c>
      <c r="M31" s="5" t="s">
        <v>57</v>
      </c>
      <c r="N31" s="4"/>
      <c r="O31" s="5"/>
      <c r="P31" s="5"/>
      <c r="Q31" s="5"/>
    </row>
    <row r="32" spans="1:17" ht="93" x14ac:dyDescent="0.35">
      <c r="A32" s="4" t="s">
        <v>49</v>
      </c>
      <c r="B32" s="4" t="s">
        <v>114</v>
      </c>
      <c r="C32" s="5" t="s">
        <v>127</v>
      </c>
      <c r="D32" s="4" t="s">
        <v>128</v>
      </c>
      <c r="E32" s="5" t="s">
        <v>52</v>
      </c>
      <c r="F32" s="4" t="s">
        <v>129</v>
      </c>
      <c r="G32" s="4" t="s">
        <v>130</v>
      </c>
      <c r="H32" s="4" t="s">
        <v>125</v>
      </c>
      <c r="I32" s="4" t="s">
        <v>131</v>
      </c>
      <c r="J32" s="4"/>
      <c r="K32" s="5" t="s">
        <v>57</v>
      </c>
      <c r="L32" s="5" t="s">
        <v>57</v>
      </c>
      <c r="M32" s="5" t="s">
        <v>57</v>
      </c>
      <c r="N32" s="4"/>
      <c r="O32" s="5"/>
      <c r="P32" s="5"/>
      <c r="Q32" s="5"/>
    </row>
    <row r="33" spans="1:17" ht="77.5" x14ac:dyDescent="0.35">
      <c r="A33" s="4" t="s">
        <v>49</v>
      </c>
      <c r="B33" s="4" t="s">
        <v>114</v>
      </c>
      <c r="C33" s="5" t="s">
        <v>132</v>
      </c>
      <c r="D33" s="4" t="s">
        <v>133</v>
      </c>
      <c r="E33" s="5" t="s">
        <v>108</v>
      </c>
      <c r="F33" s="4" t="s">
        <v>134</v>
      </c>
      <c r="G33" s="4" t="s">
        <v>135</v>
      </c>
      <c r="H33" s="4" t="s">
        <v>125</v>
      </c>
      <c r="I33" s="4" t="s">
        <v>136</v>
      </c>
      <c r="J33" s="4"/>
      <c r="K33" s="5" t="s">
        <v>57</v>
      </c>
      <c r="L33" s="5" t="s">
        <v>57</v>
      </c>
      <c r="M33" s="5" t="s">
        <v>57</v>
      </c>
      <c r="N33" s="4"/>
      <c r="O33" s="5"/>
      <c r="P33" s="5"/>
      <c r="Q33" s="5"/>
    </row>
    <row r="34" spans="1:17" ht="62" x14ac:dyDescent="0.35">
      <c r="A34" s="4" t="s">
        <v>49</v>
      </c>
      <c r="B34" s="4" t="s">
        <v>114</v>
      </c>
      <c r="C34" s="5" t="s">
        <v>137</v>
      </c>
      <c r="D34" s="4" t="s">
        <v>138</v>
      </c>
      <c r="E34" s="5" t="s">
        <v>52</v>
      </c>
      <c r="F34" s="4" t="s">
        <v>139</v>
      </c>
      <c r="G34" s="4" t="s">
        <v>140</v>
      </c>
      <c r="H34" s="4" t="s">
        <v>141</v>
      </c>
      <c r="I34" s="4" t="s">
        <v>142</v>
      </c>
      <c r="J34" s="4"/>
      <c r="K34" s="5" t="s">
        <v>57</v>
      </c>
      <c r="L34" s="5" t="s">
        <v>57</v>
      </c>
      <c r="M34" s="5" t="s">
        <v>57</v>
      </c>
      <c r="N34" s="4"/>
      <c r="O34" s="5"/>
      <c r="P34" s="5"/>
      <c r="Q34" s="5"/>
    </row>
    <row r="35" spans="1:17" ht="46.5" x14ac:dyDescent="0.35">
      <c r="A35" s="4" t="s">
        <v>49</v>
      </c>
      <c r="B35" s="4" t="s">
        <v>114</v>
      </c>
      <c r="C35" s="5" t="s">
        <v>143</v>
      </c>
      <c r="D35" s="4" t="s">
        <v>144</v>
      </c>
      <c r="E35" s="5" t="s">
        <v>52</v>
      </c>
      <c r="F35" s="4" t="s">
        <v>145</v>
      </c>
      <c r="G35" s="4" t="s">
        <v>146</v>
      </c>
      <c r="H35" s="4" t="s">
        <v>147</v>
      </c>
      <c r="I35" s="4" t="s">
        <v>148</v>
      </c>
      <c r="J35" s="4"/>
      <c r="K35" s="5" t="s">
        <v>57</v>
      </c>
      <c r="L35" s="5" t="s">
        <v>57</v>
      </c>
      <c r="M35" s="5" t="s">
        <v>57</v>
      </c>
      <c r="N35" s="4"/>
      <c r="O35" s="5"/>
      <c r="P35" s="5"/>
      <c r="Q35" s="5"/>
    </row>
    <row r="36" spans="1:17" ht="62" x14ac:dyDescent="0.35">
      <c r="A36" s="4" t="s">
        <v>49</v>
      </c>
      <c r="B36" s="4" t="s">
        <v>114</v>
      </c>
      <c r="C36" s="5" t="s">
        <v>149</v>
      </c>
      <c r="D36" s="4" t="s">
        <v>150</v>
      </c>
      <c r="E36" s="5" t="s">
        <v>108</v>
      </c>
      <c r="F36" s="4" t="s">
        <v>151</v>
      </c>
      <c r="G36" s="4" t="s">
        <v>152</v>
      </c>
      <c r="H36" s="4" t="s">
        <v>153</v>
      </c>
      <c r="I36" s="4" t="s">
        <v>154</v>
      </c>
      <c r="J36" s="4"/>
      <c r="K36" s="5" t="s">
        <v>57</v>
      </c>
      <c r="L36" s="5" t="s">
        <v>57</v>
      </c>
      <c r="M36" s="5" t="s">
        <v>57</v>
      </c>
      <c r="N36" s="4"/>
      <c r="O36" s="5"/>
      <c r="P36" s="5"/>
      <c r="Q36" s="5"/>
    </row>
    <row r="37" spans="1:17" ht="62" x14ac:dyDescent="0.35">
      <c r="A37" s="4" t="s">
        <v>49</v>
      </c>
      <c r="B37" s="4" t="s">
        <v>114</v>
      </c>
      <c r="C37" s="5" t="s">
        <v>155</v>
      </c>
      <c r="D37" s="4" t="s">
        <v>156</v>
      </c>
      <c r="E37" s="5" t="s">
        <v>108</v>
      </c>
      <c r="F37" s="4" t="s">
        <v>157</v>
      </c>
      <c r="G37" s="4" t="s">
        <v>158</v>
      </c>
      <c r="H37" s="4" t="s">
        <v>159</v>
      </c>
      <c r="I37" s="4" t="s">
        <v>160</v>
      </c>
      <c r="J37" s="4"/>
      <c r="K37" s="5" t="s">
        <v>57</v>
      </c>
      <c r="L37" s="5" t="s">
        <v>57</v>
      </c>
      <c r="M37" s="5" t="s">
        <v>57</v>
      </c>
      <c r="N37" s="4"/>
      <c r="O37" s="5"/>
      <c r="P37" s="5"/>
      <c r="Q37" s="5"/>
    </row>
    <row r="38" spans="1:17" ht="62" x14ac:dyDescent="0.35">
      <c r="A38" s="4" t="s">
        <v>49</v>
      </c>
      <c r="B38" s="4" t="s">
        <v>114</v>
      </c>
      <c r="C38" s="5" t="s">
        <v>161</v>
      </c>
      <c r="D38" s="4" t="s">
        <v>162</v>
      </c>
      <c r="E38" s="5" t="s">
        <v>108</v>
      </c>
      <c r="F38" s="4" t="s">
        <v>163</v>
      </c>
      <c r="G38" s="4" t="s">
        <v>164</v>
      </c>
      <c r="H38" s="4" t="s">
        <v>165</v>
      </c>
      <c r="I38" s="4" t="s">
        <v>166</v>
      </c>
      <c r="J38" s="4"/>
      <c r="K38" s="5" t="s">
        <v>57</v>
      </c>
      <c r="L38" s="5" t="s">
        <v>57</v>
      </c>
      <c r="M38" s="5" t="s">
        <v>57</v>
      </c>
      <c r="N38" s="4"/>
      <c r="O38" s="5"/>
      <c r="P38" s="5"/>
      <c r="Q38" s="5"/>
    </row>
    <row r="39" spans="1:17" ht="31" x14ac:dyDescent="0.35">
      <c r="A39" s="4" t="s">
        <v>49</v>
      </c>
      <c r="B39" s="4" t="s">
        <v>114</v>
      </c>
      <c r="C39" s="5" t="s">
        <v>167</v>
      </c>
      <c r="D39" s="4" t="s">
        <v>168</v>
      </c>
      <c r="E39" s="5" t="s">
        <v>108</v>
      </c>
      <c r="F39" s="4" t="s">
        <v>169</v>
      </c>
      <c r="G39" s="4" t="s">
        <v>170</v>
      </c>
      <c r="H39" s="4" t="s">
        <v>171</v>
      </c>
      <c r="I39" s="4" t="s">
        <v>172</v>
      </c>
      <c r="J39" s="4"/>
      <c r="K39" s="5" t="s">
        <v>57</v>
      </c>
      <c r="L39" s="5" t="s">
        <v>57</v>
      </c>
      <c r="M39" s="5" t="s">
        <v>57</v>
      </c>
      <c r="N39" s="4"/>
      <c r="O39" s="5"/>
      <c r="P39" s="5"/>
      <c r="Q39" s="5"/>
    </row>
    <row r="40" spans="1:17" ht="62" x14ac:dyDescent="0.35">
      <c r="A40" s="4" t="s">
        <v>49</v>
      </c>
      <c r="B40" s="4" t="s">
        <v>114</v>
      </c>
      <c r="C40" s="5" t="s">
        <v>173</v>
      </c>
      <c r="D40" s="4" t="s">
        <v>174</v>
      </c>
      <c r="E40" s="5" t="s">
        <v>108</v>
      </c>
      <c r="F40" s="4" t="s">
        <v>175</v>
      </c>
      <c r="G40" s="4" t="s">
        <v>176</v>
      </c>
      <c r="H40" s="4" t="s">
        <v>177</v>
      </c>
      <c r="I40" s="4" t="s">
        <v>178</v>
      </c>
      <c r="J40" s="4"/>
      <c r="K40" s="5" t="s">
        <v>57</v>
      </c>
      <c r="L40" s="5" t="s">
        <v>57</v>
      </c>
      <c r="M40" s="5" t="s">
        <v>57</v>
      </c>
      <c r="N40" s="4"/>
      <c r="O40" s="5"/>
      <c r="P40" s="5"/>
      <c r="Q40" s="5"/>
    </row>
    <row r="41" spans="1:17" ht="93" x14ac:dyDescent="0.35">
      <c r="A41" s="4" t="s">
        <v>49</v>
      </c>
      <c r="B41" s="4" t="s">
        <v>114</v>
      </c>
      <c r="C41" s="5" t="s">
        <v>179</v>
      </c>
      <c r="D41" s="4" t="s">
        <v>180</v>
      </c>
      <c r="E41" s="5" t="s">
        <v>181</v>
      </c>
      <c r="F41" s="4" t="s">
        <v>182</v>
      </c>
      <c r="G41" s="4" t="s">
        <v>183</v>
      </c>
      <c r="H41" s="4" t="s">
        <v>184</v>
      </c>
      <c r="I41" s="4" t="s">
        <v>185</v>
      </c>
      <c r="J41" s="4"/>
      <c r="K41" s="5" t="s">
        <v>57</v>
      </c>
      <c r="L41" s="5" t="s">
        <v>57</v>
      </c>
      <c r="M41" s="5" t="s">
        <v>57</v>
      </c>
      <c r="N41" s="4"/>
      <c r="O41" s="5"/>
      <c r="P41" s="5"/>
      <c r="Q41" s="5"/>
    </row>
    <row r="42" spans="1:17" ht="62" x14ac:dyDescent="0.35">
      <c r="A42" s="4" t="s">
        <v>49</v>
      </c>
      <c r="B42" s="4" t="s">
        <v>114</v>
      </c>
      <c r="C42" s="5" t="s">
        <v>186</v>
      </c>
      <c r="D42" s="4" t="s">
        <v>187</v>
      </c>
      <c r="E42" s="5" t="s">
        <v>181</v>
      </c>
      <c r="F42" s="4" t="s">
        <v>188</v>
      </c>
      <c r="G42" s="4" t="s">
        <v>189</v>
      </c>
      <c r="H42" s="4" t="s">
        <v>190</v>
      </c>
      <c r="I42" s="4" t="s">
        <v>191</v>
      </c>
      <c r="J42" s="4"/>
      <c r="K42" s="5" t="s">
        <v>57</v>
      </c>
      <c r="L42" s="5" t="s">
        <v>57</v>
      </c>
      <c r="M42" s="5" t="s">
        <v>57</v>
      </c>
      <c r="N42" s="4"/>
      <c r="O42" s="5"/>
      <c r="P42" s="5"/>
      <c r="Q42" s="5"/>
    </row>
    <row r="43" spans="1:17" ht="15.5" x14ac:dyDescent="0.35">
      <c r="A43" s="3"/>
      <c r="B43" s="3"/>
      <c r="C43" s="6" t="s">
        <v>192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8"/>
    </row>
    <row r="44" spans="1:17" ht="77.5" x14ac:dyDescent="0.35">
      <c r="A44" s="4" t="s">
        <v>49</v>
      </c>
      <c r="B44" s="4" t="s">
        <v>193</v>
      </c>
      <c r="C44" s="5" t="s">
        <v>194</v>
      </c>
      <c r="D44" s="4" t="s">
        <v>195</v>
      </c>
      <c r="E44" s="5" t="s">
        <v>52</v>
      </c>
      <c r="F44" s="4" t="s">
        <v>196</v>
      </c>
      <c r="G44" s="4" t="s">
        <v>197</v>
      </c>
      <c r="H44" s="4" t="s">
        <v>198</v>
      </c>
      <c r="I44" s="4" t="s">
        <v>199</v>
      </c>
      <c r="J44" s="4"/>
      <c r="K44" s="5" t="s">
        <v>57</v>
      </c>
      <c r="L44" s="5" t="s">
        <v>57</v>
      </c>
      <c r="M44" s="5" t="s">
        <v>57</v>
      </c>
      <c r="N44" s="4"/>
      <c r="O44" s="5"/>
      <c r="P44" s="5"/>
      <c r="Q44" s="5"/>
    </row>
    <row r="45" spans="1:17" ht="93" x14ac:dyDescent="0.35">
      <c r="A45" s="4" t="s">
        <v>49</v>
      </c>
      <c r="B45" s="4" t="s">
        <v>193</v>
      </c>
      <c r="C45" s="5" t="s">
        <v>200</v>
      </c>
      <c r="D45" s="4" t="s">
        <v>201</v>
      </c>
      <c r="E45" s="5" t="s">
        <v>52</v>
      </c>
      <c r="F45" s="4" t="s">
        <v>202</v>
      </c>
      <c r="G45" s="4" t="s">
        <v>203</v>
      </c>
      <c r="H45" s="4" t="s">
        <v>204</v>
      </c>
      <c r="I45" s="4" t="s">
        <v>205</v>
      </c>
      <c r="J45" s="4"/>
      <c r="K45" s="5" t="s">
        <v>57</v>
      </c>
      <c r="L45" s="5" t="s">
        <v>57</v>
      </c>
      <c r="M45" s="5" t="s">
        <v>57</v>
      </c>
      <c r="N45" s="4"/>
      <c r="O45" s="5"/>
      <c r="P45" s="5"/>
      <c r="Q45" s="5"/>
    </row>
    <row r="46" spans="1:17" ht="77.5" x14ac:dyDescent="0.35">
      <c r="A46" s="4" t="s">
        <v>49</v>
      </c>
      <c r="B46" s="4" t="s">
        <v>193</v>
      </c>
      <c r="C46" s="5" t="s">
        <v>206</v>
      </c>
      <c r="D46" s="4" t="s">
        <v>207</v>
      </c>
      <c r="E46" s="5" t="s">
        <v>108</v>
      </c>
      <c r="F46" s="4" t="s">
        <v>208</v>
      </c>
      <c r="G46" s="4" t="s">
        <v>209</v>
      </c>
      <c r="H46" s="4" t="s">
        <v>125</v>
      </c>
      <c r="I46" s="4" t="s">
        <v>210</v>
      </c>
      <c r="J46" s="4"/>
      <c r="K46" s="5" t="s">
        <v>57</v>
      </c>
      <c r="L46" s="5" t="s">
        <v>57</v>
      </c>
      <c r="M46" s="5" t="s">
        <v>57</v>
      </c>
      <c r="N46" s="4"/>
      <c r="O46" s="5"/>
      <c r="P46" s="5"/>
      <c r="Q46" s="5"/>
    </row>
    <row r="47" spans="1:17" ht="93" x14ac:dyDescent="0.35">
      <c r="A47" s="4" t="s">
        <v>49</v>
      </c>
      <c r="B47" s="4" t="s">
        <v>193</v>
      </c>
      <c r="C47" s="5" t="s">
        <v>211</v>
      </c>
      <c r="D47" s="4" t="s">
        <v>212</v>
      </c>
      <c r="E47" s="5" t="s">
        <v>52</v>
      </c>
      <c r="F47" s="4" t="s">
        <v>213</v>
      </c>
      <c r="G47" s="4" t="s">
        <v>214</v>
      </c>
      <c r="H47" s="4" t="s">
        <v>215</v>
      </c>
      <c r="I47" s="4" t="s">
        <v>216</v>
      </c>
      <c r="J47" s="4"/>
      <c r="K47" s="5" t="s">
        <v>57</v>
      </c>
      <c r="L47" s="5" t="s">
        <v>57</v>
      </c>
      <c r="M47" s="5" t="s">
        <v>57</v>
      </c>
      <c r="N47" s="4"/>
      <c r="O47" s="5"/>
      <c r="P47" s="5"/>
      <c r="Q47" s="5"/>
    </row>
    <row r="48" spans="1:17" ht="77.5" x14ac:dyDescent="0.35">
      <c r="A48" s="4" t="s">
        <v>49</v>
      </c>
      <c r="B48" s="4" t="s">
        <v>193</v>
      </c>
      <c r="C48" s="5" t="s">
        <v>217</v>
      </c>
      <c r="D48" s="4" t="s">
        <v>218</v>
      </c>
      <c r="E48" s="5" t="s">
        <v>52</v>
      </c>
      <c r="F48" s="4" t="s">
        <v>219</v>
      </c>
      <c r="G48" s="4" t="s">
        <v>220</v>
      </c>
      <c r="H48" s="4" t="s">
        <v>221</v>
      </c>
      <c r="I48" s="4" t="s">
        <v>222</v>
      </c>
      <c r="J48" s="4"/>
      <c r="K48" s="5" t="s">
        <v>57</v>
      </c>
      <c r="L48" s="5" t="s">
        <v>57</v>
      </c>
      <c r="M48" s="5" t="s">
        <v>57</v>
      </c>
      <c r="N48" s="4"/>
      <c r="O48" s="5"/>
      <c r="P48" s="5"/>
      <c r="Q48" s="5"/>
    </row>
    <row r="49" spans="1:17" ht="77.5" x14ac:dyDescent="0.35">
      <c r="A49" s="4" t="s">
        <v>49</v>
      </c>
      <c r="B49" s="4" t="s">
        <v>193</v>
      </c>
      <c r="C49" s="5" t="s">
        <v>223</v>
      </c>
      <c r="D49" s="4" t="s">
        <v>224</v>
      </c>
      <c r="E49" s="5" t="s">
        <v>52</v>
      </c>
      <c r="F49" s="4" t="s">
        <v>225</v>
      </c>
      <c r="G49" s="4" t="s">
        <v>226</v>
      </c>
      <c r="H49" s="4" t="s">
        <v>227</v>
      </c>
      <c r="I49" s="4" t="s">
        <v>228</v>
      </c>
      <c r="J49" s="4"/>
      <c r="K49" s="5" t="s">
        <v>57</v>
      </c>
      <c r="L49" s="5" t="s">
        <v>57</v>
      </c>
      <c r="M49" s="5" t="s">
        <v>57</v>
      </c>
      <c r="N49" s="4"/>
      <c r="O49" s="5"/>
      <c r="P49" s="5"/>
      <c r="Q49" s="5"/>
    </row>
    <row r="50" spans="1:17" ht="46.5" x14ac:dyDescent="0.35">
      <c r="A50" s="4" t="s">
        <v>49</v>
      </c>
      <c r="B50" s="4" t="s">
        <v>193</v>
      </c>
      <c r="C50" s="5" t="s">
        <v>229</v>
      </c>
      <c r="D50" s="4" t="s">
        <v>230</v>
      </c>
      <c r="E50" s="5" t="s">
        <v>52</v>
      </c>
      <c r="F50" s="4" t="s">
        <v>231</v>
      </c>
      <c r="G50" s="4" t="s">
        <v>232</v>
      </c>
      <c r="H50" s="4" t="s">
        <v>233</v>
      </c>
      <c r="I50" s="4" t="s">
        <v>234</v>
      </c>
      <c r="J50" s="4"/>
      <c r="K50" s="5" t="s">
        <v>57</v>
      </c>
      <c r="L50" s="5" t="s">
        <v>57</v>
      </c>
      <c r="M50" s="5" t="s">
        <v>57</v>
      </c>
      <c r="N50" s="4"/>
      <c r="O50" s="5"/>
      <c r="P50" s="5"/>
      <c r="Q50" s="5"/>
    </row>
    <row r="51" spans="1:17" ht="31" x14ac:dyDescent="0.35">
      <c r="A51" s="4" t="s">
        <v>49</v>
      </c>
      <c r="B51" s="4" t="s">
        <v>193</v>
      </c>
      <c r="C51" s="5" t="s">
        <v>235</v>
      </c>
      <c r="D51" s="4" t="s">
        <v>236</v>
      </c>
      <c r="E51" s="5" t="s">
        <v>52</v>
      </c>
      <c r="F51" s="4" t="s">
        <v>237</v>
      </c>
      <c r="G51" s="4" t="s">
        <v>238</v>
      </c>
      <c r="H51" s="4" t="s">
        <v>239</v>
      </c>
      <c r="I51" s="4" t="s">
        <v>240</v>
      </c>
      <c r="J51" s="4"/>
      <c r="K51" s="5" t="s">
        <v>57</v>
      </c>
      <c r="L51" s="5" t="s">
        <v>57</v>
      </c>
      <c r="M51" s="5" t="s">
        <v>57</v>
      </c>
      <c r="N51" s="4"/>
      <c r="O51" s="5"/>
      <c r="P51" s="5"/>
      <c r="Q51" s="5"/>
    </row>
    <row r="52" spans="1:17" ht="46.5" x14ac:dyDescent="0.35">
      <c r="A52" s="4" t="s">
        <v>49</v>
      </c>
      <c r="B52" s="4" t="s">
        <v>193</v>
      </c>
      <c r="C52" s="5" t="s">
        <v>241</v>
      </c>
      <c r="D52" s="4" t="s">
        <v>242</v>
      </c>
      <c r="E52" s="5" t="s">
        <v>108</v>
      </c>
      <c r="F52" s="4" t="s">
        <v>243</v>
      </c>
      <c r="G52" s="4" t="s">
        <v>244</v>
      </c>
      <c r="H52" s="4" t="s">
        <v>245</v>
      </c>
      <c r="I52" s="4" t="s">
        <v>246</v>
      </c>
      <c r="J52" s="4"/>
      <c r="K52" s="5" t="s">
        <v>57</v>
      </c>
      <c r="L52" s="5" t="s">
        <v>57</v>
      </c>
      <c r="M52" s="5" t="s">
        <v>57</v>
      </c>
      <c r="N52" s="4"/>
      <c r="O52" s="5"/>
      <c r="P52" s="5"/>
      <c r="Q52" s="5"/>
    </row>
    <row r="53" spans="1:17" ht="77.5" x14ac:dyDescent="0.35">
      <c r="A53" s="4" t="s">
        <v>49</v>
      </c>
      <c r="B53" s="4" t="s">
        <v>193</v>
      </c>
      <c r="C53" s="5" t="s">
        <v>247</v>
      </c>
      <c r="D53" s="4" t="s">
        <v>248</v>
      </c>
      <c r="E53" s="5" t="s">
        <v>108</v>
      </c>
      <c r="F53" s="4" t="s">
        <v>249</v>
      </c>
      <c r="G53" s="4" t="s">
        <v>250</v>
      </c>
      <c r="H53" s="4" t="s">
        <v>251</v>
      </c>
      <c r="I53" s="4" t="s">
        <v>252</v>
      </c>
      <c r="J53" s="4"/>
      <c r="K53" s="5" t="s">
        <v>57</v>
      </c>
      <c r="L53" s="5" t="s">
        <v>57</v>
      </c>
      <c r="M53" s="5" t="s">
        <v>57</v>
      </c>
      <c r="N53" s="4"/>
      <c r="O53" s="5"/>
      <c r="P53" s="5"/>
      <c r="Q53" s="5"/>
    </row>
    <row r="54" spans="1:17" ht="139.5" x14ac:dyDescent="0.35">
      <c r="A54" s="4" t="s">
        <v>49</v>
      </c>
      <c r="B54" s="4" t="s">
        <v>193</v>
      </c>
      <c r="C54" s="5" t="s">
        <v>253</v>
      </c>
      <c r="D54" s="4" t="s">
        <v>254</v>
      </c>
      <c r="E54" s="5" t="s">
        <v>52</v>
      </c>
      <c r="F54" s="4" t="s">
        <v>255</v>
      </c>
      <c r="G54" s="4" t="s">
        <v>256</v>
      </c>
      <c r="H54" s="4" t="s">
        <v>257</v>
      </c>
      <c r="I54" s="4" t="s">
        <v>258</v>
      </c>
      <c r="J54" s="4"/>
      <c r="K54" s="5" t="s">
        <v>57</v>
      </c>
      <c r="L54" s="5" t="s">
        <v>57</v>
      </c>
      <c r="M54" s="5" t="s">
        <v>57</v>
      </c>
      <c r="N54" s="4"/>
      <c r="O54" s="5"/>
      <c r="P54" s="5"/>
      <c r="Q54" s="5"/>
    </row>
    <row r="55" spans="1:17" ht="77.5" x14ac:dyDescent="0.35">
      <c r="A55" s="4" t="s">
        <v>49</v>
      </c>
      <c r="B55" s="4" t="s">
        <v>193</v>
      </c>
      <c r="C55" s="5" t="s">
        <v>259</v>
      </c>
      <c r="D55" s="4" t="s">
        <v>260</v>
      </c>
      <c r="E55" s="5" t="s">
        <v>108</v>
      </c>
      <c r="F55" s="4" t="s">
        <v>261</v>
      </c>
      <c r="G55" s="4" t="s">
        <v>262</v>
      </c>
      <c r="H55" s="4" t="s">
        <v>233</v>
      </c>
      <c r="I55" s="4" t="s">
        <v>263</v>
      </c>
      <c r="J55" s="4"/>
      <c r="K55" s="5" t="s">
        <v>57</v>
      </c>
      <c r="L55" s="5" t="s">
        <v>57</v>
      </c>
      <c r="M55" s="5" t="s">
        <v>57</v>
      </c>
      <c r="N55" s="4"/>
      <c r="O55" s="5"/>
      <c r="P55" s="5"/>
      <c r="Q55" s="5"/>
    </row>
    <row r="56" spans="1:17" ht="62" x14ac:dyDescent="0.35">
      <c r="A56" s="4" t="s">
        <v>49</v>
      </c>
      <c r="B56" s="4" t="s">
        <v>193</v>
      </c>
      <c r="C56" s="5" t="s">
        <v>264</v>
      </c>
      <c r="D56" s="4" t="s">
        <v>265</v>
      </c>
      <c r="E56" s="5" t="s">
        <v>52</v>
      </c>
      <c r="F56" s="4" t="s">
        <v>266</v>
      </c>
      <c r="G56" s="4" t="s">
        <v>267</v>
      </c>
      <c r="H56" s="4" t="s">
        <v>125</v>
      </c>
      <c r="I56" s="4" t="s">
        <v>268</v>
      </c>
      <c r="J56" s="4"/>
      <c r="K56" s="5" t="s">
        <v>57</v>
      </c>
      <c r="L56" s="5" t="s">
        <v>57</v>
      </c>
      <c r="M56" s="5" t="s">
        <v>57</v>
      </c>
      <c r="N56" s="4"/>
      <c r="O56" s="5"/>
      <c r="P56" s="5"/>
      <c r="Q56" s="5"/>
    </row>
    <row r="57" spans="1:17" ht="46.5" x14ac:dyDescent="0.35">
      <c r="A57" s="4" t="s">
        <v>49</v>
      </c>
      <c r="B57" s="4" t="s">
        <v>193</v>
      </c>
      <c r="C57" s="5" t="s">
        <v>269</v>
      </c>
      <c r="D57" s="4" t="s">
        <v>270</v>
      </c>
      <c r="E57" s="5" t="s">
        <v>108</v>
      </c>
      <c r="F57" s="4" t="s">
        <v>271</v>
      </c>
      <c r="G57" s="4" t="s">
        <v>272</v>
      </c>
      <c r="H57" s="4" t="s">
        <v>273</v>
      </c>
      <c r="I57" s="4" t="s">
        <v>274</v>
      </c>
      <c r="J57" s="4"/>
      <c r="K57" s="5" t="s">
        <v>57</v>
      </c>
      <c r="L57" s="5" t="s">
        <v>57</v>
      </c>
      <c r="M57" s="5" t="s">
        <v>57</v>
      </c>
      <c r="N57" s="4"/>
      <c r="O57" s="5"/>
      <c r="P57" s="5"/>
      <c r="Q57" s="5"/>
    </row>
    <row r="58" spans="1:17" ht="46.5" x14ac:dyDescent="0.35">
      <c r="A58" s="4" t="s">
        <v>49</v>
      </c>
      <c r="B58" s="4" t="s">
        <v>193</v>
      </c>
      <c r="C58" s="5" t="s">
        <v>275</v>
      </c>
      <c r="D58" s="4" t="s">
        <v>276</v>
      </c>
      <c r="E58" s="5" t="s">
        <v>181</v>
      </c>
      <c r="F58" s="4" t="s">
        <v>277</v>
      </c>
      <c r="G58" s="4" t="s">
        <v>278</v>
      </c>
      <c r="H58" s="4" t="s">
        <v>279</v>
      </c>
      <c r="I58" s="4" t="s">
        <v>280</v>
      </c>
      <c r="J58" s="4"/>
      <c r="K58" s="5" t="s">
        <v>57</v>
      </c>
      <c r="L58" s="5" t="s">
        <v>57</v>
      </c>
      <c r="M58" s="5" t="s">
        <v>57</v>
      </c>
      <c r="N58" s="4"/>
      <c r="O58" s="5"/>
      <c r="P58" s="5"/>
      <c r="Q58" s="5"/>
    </row>
    <row r="59" spans="1:17" ht="62" x14ac:dyDescent="0.35">
      <c r="A59" s="4" t="s">
        <v>49</v>
      </c>
      <c r="B59" s="4" t="s">
        <v>193</v>
      </c>
      <c r="C59" s="5" t="s">
        <v>281</v>
      </c>
      <c r="D59" s="4" t="s">
        <v>282</v>
      </c>
      <c r="E59" s="5" t="s">
        <v>181</v>
      </c>
      <c r="F59" s="4" t="s">
        <v>175</v>
      </c>
      <c r="G59" s="4" t="s">
        <v>283</v>
      </c>
      <c r="H59" s="4" t="s">
        <v>284</v>
      </c>
      <c r="I59" s="4" t="s">
        <v>285</v>
      </c>
      <c r="J59" s="4"/>
      <c r="K59" s="5" t="s">
        <v>57</v>
      </c>
      <c r="L59" s="5" t="s">
        <v>57</v>
      </c>
      <c r="M59" s="5" t="s">
        <v>57</v>
      </c>
      <c r="N59" s="4"/>
      <c r="O59" s="5"/>
      <c r="P59" s="5"/>
      <c r="Q59" s="5"/>
    </row>
    <row r="60" spans="1:17" ht="15.5" x14ac:dyDescent="0.35">
      <c r="A60" s="3"/>
      <c r="B60" s="3"/>
      <c r="C60" s="6" t="s">
        <v>286</v>
      </c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8"/>
    </row>
    <row r="61" spans="1:17" ht="62" x14ac:dyDescent="0.35">
      <c r="A61" s="4" t="s">
        <v>49</v>
      </c>
      <c r="B61" s="4" t="s">
        <v>287</v>
      </c>
      <c r="C61" s="5" t="s">
        <v>288</v>
      </c>
      <c r="D61" s="4" t="s">
        <v>289</v>
      </c>
      <c r="E61" s="5" t="s">
        <v>52</v>
      </c>
      <c r="F61" s="4" t="s">
        <v>290</v>
      </c>
      <c r="G61" s="4" t="s">
        <v>291</v>
      </c>
      <c r="H61" s="4" t="s">
        <v>292</v>
      </c>
      <c r="I61" s="4" t="s">
        <v>293</v>
      </c>
      <c r="J61" s="4"/>
      <c r="K61" s="5" t="s">
        <v>57</v>
      </c>
      <c r="L61" s="5" t="s">
        <v>57</v>
      </c>
      <c r="M61" s="5" t="s">
        <v>57</v>
      </c>
      <c r="N61" s="4"/>
      <c r="O61" s="5"/>
      <c r="P61" s="5"/>
      <c r="Q61" s="5"/>
    </row>
    <row r="62" spans="1:17" ht="62" x14ac:dyDescent="0.35">
      <c r="A62" s="4" t="s">
        <v>49</v>
      </c>
      <c r="B62" s="4" t="s">
        <v>287</v>
      </c>
      <c r="C62" s="5" t="s">
        <v>294</v>
      </c>
      <c r="D62" s="4" t="s">
        <v>295</v>
      </c>
      <c r="E62" s="5" t="s">
        <v>52</v>
      </c>
      <c r="F62" s="4" t="s">
        <v>296</v>
      </c>
      <c r="G62" s="4" t="s">
        <v>297</v>
      </c>
      <c r="H62" s="4" t="s">
        <v>298</v>
      </c>
      <c r="I62" s="4" t="s">
        <v>299</v>
      </c>
      <c r="J62" s="4"/>
      <c r="K62" s="5" t="s">
        <v>57</v>
      </c>
      <c r="L62" s="5" t="s">
        <v>57</v>
      </c>
      <c r="M62" s="5" t="s">
        <v>57</v>
      </c>
      <c r="N62" s="4"/>
      <c r="O62" s="5"/>
      <c r="P62" s="5"/>
      <c r="Q62" s="5"/>
    </row>
    <row r="63" spans="1:17" ht="62" x14ac:dyDescent="0.35">
      <c r="A63" s="4" t="s">
        <v>49</v>
      </c>
      <c r="B63" s="4" t="s">
        <v>287</v>
      </c>
      <c r="C63" s="5" t="s">
        <v>300</v>
      </c>
      <c r="D63" s="4" t="s">
        <v>301</v>
      </c>
      <c r="E63" s="5" t="s">
        <v>52</v>
      </c>
      <c r="F63" s="4" t="s">
        <v>302</v>
      </c>
      <c r="G63" s="4" t="s">
        <v>303</v>
      </c>
      <c r="H63" s="4" t="s">
        <v>304</v>
      </c>
      <c r="I63" s="4" t="s">
        <v>305</v>
      </c>
      <c r="J63" s="4"/>
      <c r="K63" s="5" t="s">
        <v>57</v>
      </c>
      <c r="L63" s="5" t="s">
        <v>57</v>
      </c>
      <c r="M63" s="5" t="s">
        <v>57</v>
      </c>
      <c r="N63" s="4"/>
      <c r="O63" s="5"/>
      <c r="P63" s="5"/>
      <c r="Q63" s="5"/>
    </row>
    <row r="64" spans="1:17" ht="46.5" x14ac:dyDescent="0.35">
      <c r="A64" s="4" t="s">
        <v>49</v>
      </c>
      <c r="B64" s="4" t="s">
        <v>287</v>
      </c>
      <c r="C64" s="5" t="s">
        <v>306</v>
      </c>
      <c r="D64" s="4" t="s">
        <v>307</v>
      </c>
      <c r="E64" s="5" t="s">
        <v>108</v>
      </c>
      <c r="F64" s="4" t="s">
        <v>308</v>
      </c>
      <c r="G64" s="4" t="s">
        <v>309</v>
      </c>
      <c r="H64" s="4" t="s">
        <v>310</v>
      </c>
      <c r="I64" s="4" t="s">
        <v>311</v>
      </c>
      <c r="J64" s="4"/>
      <c r="K64" s="5" t="s">
        <v>57</v>
      </c>
      <c r="L64" s="5" t="s">
        <v>57</v>
      </c>
      <c r="M64" s="5" t="s">
        <v>57</v>
      </c>
      <c r="N64" s="4"/>
      <c r="O64" s="5"/>
      <c r="P64" s="5"/>
      <c r="Q64" s="5"/>
    </row>
    <row r="65" spans="1:17" ht="31" x14ac:dyDescent="0.35">
      <c r="A65" s="4" t="s">
        <v>49</v>
      </c>
      <c r="B65" s="4" t="s">
        <v>287</v>
      </c>
      <c r="C65" s="5" t="s">
        <v>312</v>
      </c>
      <c r="D65" s="4" t="s">
        <v>313</v>
      </c>
      <c r="E65" s="5" t="s">
        <v>108</v>
      </c>
      <c r="F65" s="4" t="s">
        <v>314</v>
      </c>
      <c r="G65" s="4" t="s">
        <v>315</v>
      </c>
      <c r="H65" s="4" t="s">
        <v>316</v>
      </c>
      <c r="I65" s="4" t="s">
        <v>317</v>
      </c>
      <c r="J65" s="4"/>
      <c r="K65" s="5" t="s">
        <v>57</v>
      </c>
      <c r="L65" s="5" t="s">
        <v>57</v>
      </c>
      <c r="M65" s="5" t="s">
        <v>57</v>
      </c>
      <c r="N65" s="4"/>
      <c r="O65" s="5"/>
      <c r="P65" s="5"/>
      <c r="Q65" s="5"/>
    </row>
    <row r="66" spans="1:17" ht="31" x14ac:dyDescent="0.35">
      <c r="A66" s="4" t="s">
        <v>49</v>
      </c>
      <c r="B66" s="4" t="s">
        <v>287</v>
      </c>
      <c r="C66" s="5" t="s">
        <v>318</v>
      </c>
      <c r="D66" s="4" t="s">
        <v>319</v>
      </c>
      <c r="E66" s="5" t="s">
        <v>108</v>
      </c>
      <c r="F66" s="4" t="s">
        <v>320</v>
      </c>
      <c r="G66" s="4" t="s">
        <v>321</v>
      </c>
      <c r="H66" s="4" t="s">
        <v>322</v>
      </c>
      <c r="I66" s="4" t="s">
        <v>323</v>
      </c>
      <c r="J66" s="4"/>
      <c r="K66" s="5" t="s">
        <v>57</v>
      </c>
      <c r="L66" s="5" t="s">
        <v>57</v>
      </c>
      <c r="M66" s="5" t="s">
        <v>57</v>
      </c>
      <c r="N66" s="4"/>
      <c r="O66" s="5"/>
      <c r="P66" s="5"/>
      <c r="Q66" s="5"/>
    </row>
    <row r="67" spans="1:17" ht="31" x14ac:dyDescent="0.35">
      <c r="A67" s="4" t="s">
        <v>49</v>
      </c>
      <c r="B67" s="4" t="s">
        <v>287</v>
      </c>
      <c r="C67" s="5" t="s">
        <v>324</v>
      </c>
      <c r="D67" s="4" t="s">
        <v>325</v>
      </c>
      <c r="E67" s="5" t="s">
        <v>108</v>
      </c>
      <c r="F67" s="4" t="s">
        <v>326</v>
      </c>
      <c r="G67" s="4" t="s">
        <v>327</v>
      </c>
      <c r="H67" s="4" t="s">
        <v>328</v>
      </c>
      <c r="I67" s="4" t="s">
        <v>329</v>
      </c>
      <c r="J67" s="4"/>
      <c r="K67" s="5" t="s">
        <v>57</v>
      </c>
      <c r="L67" s="5" t="s">
        <v>57</v>
      </c>
      <c r="M67" s="5" t="s">
        <v>57</v>
      </c>
      <c r="N67" s="4"/>
      <c r="O67" s="5"/>
      <c r="P67" s="5"/>
      <c r="Q67" s="5"/>
    </row>
    <row r="68" spans="1:17" ht="62" x14ac:dyDescent="0.35">
      <c r="A68" s="4" t="s">
        <v>49</v>
      </c>
      <c r="B68" s="4" t="s">
        <v>287</v>
      </c>
      <c r="C68" s="5" t="s">
        <v>330</v>
      </c>
      <c r="D68" s="4" t="s">
        <v>331</v>
      </c>
      <c r="E68" s="5" t="s">
        <v>108</v>
      </c>
      <c r="F68" s="4" t="s">
        <v>332</v>
      </c>
      <c r="G68" s="4" t="s">
        <v>333</v>
      </c>
      <c r="H68" s="4" t="s">
        <v>334</v>
      </c>
      <c r="I68" s="4" t="s">
        <v>335</v>
      </c>
      <c r="J68" s="4"/>
      <c r="K68" s="5" t="s">
        <v>57</v>
      </c>
      <c r="L68" s="5" t="s">
        <v>57</v>
      </c>
      <c r="M68" s="5" t="s">
        <v>57</v>
      </c>
      <c r="N68" s="4"/>
      <c r="O68" s="5"/>
      <c r="P68" s="5"/>
      <c r="Q68" s="5"/>
    </row>
    <row r="69" spans="1:17" ht="46.5" x14ac:dyDescent="0.35">
      <c r="A69" s="4" t="s">
        <v>49</v>
      </c>
      <c r="B69" s="4" t="s">
        <v>287</v>
      </c>
      <c r="C69" s="5" t="s">
        <v>336</v>
      </c>
      <c r="D69" s="4" t="s">
        <v>337</v>
      </c>
      <c r="E69" s="5" t="s">
        <v>181</v>
      </c>
      <c r="F69" s="4" t="s">
        <v>338</v>
      </c>
      <c r="G69" s="4" t="s">
        <v>339</v>
      </c>
      <c r="H69" s="4" t="s">
        <v>340</v>
      </c>
      <c r="I69" s="4" t="s">
        <v>341</v>
      </c>
      <c r="J69" s="4"/>
      <c r="K69" s="5" t="s">
        <v>57</v>
      </c>
      <c r="L69" s="5" t="s">
        <v>57</v>
      </c>
      <c r="M69" s="5" t="s">
        <v>57</v>
      </c>
      <c r="N69" s="4"/>
      <c r="O69" s="5"/>
      <c r="P69" s="5"/>
      <c r="Q69" s="5"/>
    </row>
    <row r="70" spans="1:17" ht="62" x14ac:dyDescent="0.35">
      <c r="A70" s="4" t="s">
        <v>49</v>
      </c>
      <c r="B70" s="4" t="s">
        <v>287</v>
      </c>
      <c r="C70" s="5" t="s">
        <v>342</v>
      </c>
      <c r="D70" s="4" t="s">
        <v>343</v>
      </c>
      <c r="E70" s="5" t="s">
        <v>52</v>
      </c>
      <c r="F70" s="4" t="s">
        <v>344</v>
      </c>
      <c r="G70" s="4" t="s">
        <v>345</v>
      </c>
      <c r="H70" s="4" t="s">
        <v>346</v>
      </c>
      <c r="I70" s="4" t="s">
        <v>347</v>
      </c>
      <c r="J70" s="4"/>
      <c r="K70" s="5" t="s">
        <v>57</v>
      </c>
      <c r="L70" s="5" t="s">
        <v>57</v>
      </c>
      <c r="M70" s="5" t="s">
        <v>57</v>
      </c>
      <c r="N70" s="4"/>
      <c r="O70" s="5"/>
      <c r="P70" s="5"/>
      <c r="Q70" s="5"/>
    </row>
    <row r="71" spans="1:17" ht="93" x14ac:dyDescent="0.35">
      <c r="A71" s="4" t="s">
        <v>49</v>
      </c>
      <c r="B71" s="4" t="s">
        <v>287</v>
      </c>
      <c r="C71" s="5" t="s">
        <v>348</v>
      </c>
      <c r="D71" s="4" t="s">
        <v>349</v>
      </c>
      <c r="E71" s="5" t="s">
        <v>52</v>
      </c>
      <c r="F71" s="4" t="s">
        <v>350</v>
      </c>
      <c r="G71" s="4" t="s">
        <v>351</v>
      </c>
      <c r="H71" s="4" t="s">
        <v>352</v>
      </c>
      <c r="I71" s="4" t="s">
        <v>353</v>
      </c>
      <c r="J71" s="4"/>
      <c r="K71" s="5" t="s">
        <v>57</v>
      </c>
      <c r="L71" s="5" t="s">
        <v>57</v>
      </c>
      <c r="M71" s="5" t="s">
        <v>57</v>
      </c>
      <c r="N71" s="4"/>
      <c r="O71" s="5"/>
      <c r="P71" s="5"/>
      <c r="Q71" s="5"/>
    </row>
    <row r="72" spans="1:17" ht="62" x14ac:dyDescent="0.35">
      <c r="A72" s="4" t="s">
        <v>49</v>
      </c>
      <c r="B72" s="4" t="s">
        <v>287</v>
      </c>
      <c r="C72" s="5" t="s">
        <v>354</v>
      </c>
      <c r="D72" s="4" t="s">
        <v>355</v>
      </c>
      <c r="E72" s="5" t="s">
        <v>52</v>
      </c>
      <c r="F72" s="4" t="s">
        <v>356</v>
      </c>
      <c r="G72" s="4" t="s">
        <v>357</v>
      </c>
      <c r="H72" s="4" t="s">
        <v>358</v>
      </c>
      <c r="I72" s="4" t="s">
        <v>359</v>
      </c>
      <c r="J72" s="4"/>
      <c r="K72" s="5" t="s">
        <v>57</v>
      </c>
      <c r="L72" s="5" t="s">
        <v>57</v>
      </c>
      <c r="M72" s="5" t="s">
        <v>57</v>
      </c>
      <c r="N72" s="4"/>
      <c r="O72" s="5"/>
      <c r="P72" s="5"/>
      <c r="Q72" s="5"/>
    </row>
    <row r="73" spans="1:17" ht="31" x14ac:dyDescent="0.35">
      <c r="A73" s="4" t="s">
        <v>49</v>
      </c>
      <c r="B73" s="4" t="s">
        <v>287</v>
      </c>
      <c r="C73" s="5" t="s">
        <v>360</v>
      </c>
      <c r="D73" s="4" t="s">
        <v>361</v>
      </c>
      <c r="E73" s="5" t="s">
        <v>181</v>
      </c>
      <c r="F73" s="4" t="s">
        <v>134</v>
      </c>
      <c r="G73" s="4" t="s">
        <v>362</v>
      </c>
      <c r="H73" s="4" t="s">
        <v>125</v>
      </c>
      <c r="I73" s="4" t="s">
        <v>363</v>
      </c>
      <c r="J73" s="4"/>
      <c r="K73" s="5" t="s">
        <v>57</v>
      </c>
      <c r="L73" s="5" t="s">
        <v>57</v>
      </c>
      <c r="M73" s="5" t="s">
        <v>57</v>
      </c>
      <c r="N73" s="4"/>
      <c r="O73" s="5"/>
      <c r="P73" s="5"/>
      <c r="Q73" s="5"/>
    </row>
    <row r="74" spans="1:17" ht="93" x14ac:dyDescent="0.35">
      <c r="A74" s="4" t="s">
        <v>49</v>
      </c>
      <c r="B74" s="4" t="s">
        <v>287</v>
      </c>
      <c r="C74" s="5" t="s">
        <v>364</v>
      </c>
      <c r="D74" s="4" t="s">
        <v>365</v>
      </c>
      <c r="E74" s="5" t="s">
        <v>108</v>
      </c>
      <c r="F74" s="4" t="s">
        <v>366</v>
      </c>
      <c r="G74" s="4" t="s">
        <v>367</v>
      </c>
      <c r="H74" s="4" t="s">
        <v>368</v>
      </c>
      <c r="I74" s="4" t="s">
        <v>369</v>
      </c>
      <c r="J74" s="4"/>
      <c r="K74" s="5" t="s">
        <v>57</v>
      </c>
      <c r="L74" s="5" t="s">
        <v>57</v>
      </c>
      <c r="M74" s="5" t="s">
        <v>57</v>
      </c>
      <c r="N74" s="4"/>
      <c r="O74" s="5"/>
      <c r="P74" s="5"/>
      <c r="Q74" s="5"/>
    </row>
    <row r="75" spans="1:17" ht="62" x14ac:dyDescent="0.35">
      <c r="A75" s="4" t="s">
        <v>49</v>
      </c>
      <c r="B75" s="4" t="s">
        <v>287</v>
      </c>
      <c r="C75" s="5" t="s">
        <v>370</v>
      </c>
      <c r="D75" s="4" t="s">
        <v>371</v>
      </c>
      <c r="E75" s="5" t="s">
        <v>108</v>
      </c>
      <c r="F75" s="4" t="s">
        <v>372</v>
      </c>
      <c r="G75" s="4" t="s">
        <v>373</v>
      </c>
      <c r="H75" s="4" t="s">
        <v>374</v>
      </c>
      <c r="I75" s="4" t="s">
        <v>375</v>
      </c>
      <c r="J75" s="4"/>
      <c r="K75" s="5" t="s">
        <v>57</v>
      </c>
      <c r="L75" s="5" t="s">
        <v>57</v>
      </c>
      <c r="M75" s="5" t="s">
        <v>57</v>
      </c>
      <c r="N75" s="4"/>
      <c r="O75" s="5"/>
      <c r="P75" s="5"/>
      <c r="Q75" s="5"/>
    </row>
    <row r="76" spans="1:17" ht="15.5" x14ac:dyDescent="0.35">
      <c r="A76" s="3"/>
      <c r="B76" s="3"/>
      <c r="C76" s="6" t="s">
        <v>376</v>
      </c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8"/>
    </row>
    <row r="77" spans="1:17" ht="108.5" x14ac:dyDescent="0.35">
      <c r="A77" s="4" t="s">
        <v>49</v>
      </c>
      <c r="B77" s="4" t="s">
        <v>377</v>
      </c>
      <c r="C77" s="5" t="s">
        <v>378</v>
      </c>
      <c r="D77" s="4" t="s">
        <v>379</v>
      </c>
      <c r="E77" s="5" t="s">
        <v>52</v>
      </c>
      <c r="F77" s="4" t="s">
        <v>380</v>
      </c>
      <c r="G77" s="4" t="s">
        <v>381</v>
      </c>
      <c r="H77" s="4" t="s">
        <v>125</v>
      </c>
      <c r="I77" s="4" t="s">
        <v>382</v>
      </c>
      <c r="J77" s="4"/>
      <c r="K77" s="5" t="s">
        <v>57</v>
      </c>
      <c r="L77" s="5" t="s">
        <v>57</v>
      </c>
      <c r="M77" s="5" t="s">
        <v>57</v>
      </c>
      <c r="N77" s="4"/>
      <c r="O77" s="5"/>
      <c r="P77" s="5"/>
      <c r="Q77" s="5"/>
    </row>
    <row r="78" spans="1:17" ht="62" x14ac:dyDescent="0.35">
      <c r="A78" s="4" t="s">
        <v>49</v>
      </c>
      <c r="B78" s="4" t="s">
        <v>377</v>
      </c>
      <c r="C78" s="5" t="s">
        <v>383</v>
      </c>
      <c r="D78" s="4" t="s">
        <v>384</v>
      </c>
      <c r="E78" s="5" t="s">
        <v>52</v>
      </c>
      <c r="F78" s="4" t="s">
        <v>385</v>
      </c>
      <c r="G78" s="4" t="s">
        <v>386</v>
      </c>
      <c r="H78" s="4" t="s">
        <v>125</v>
      </c>
      <c r="I78" s="4" t="s">
        <v>387</v>
      </c>
      <c r="J78" s="4"/>
      <c r="K78" s="5" t="s">
        <v>57</v>
      </c>
      <c r="L78" s="5" t="s">
        <v>57</v>
      </c>
      <c r="M78" s="5" t="s">
        <v>57</v>
      </c>
      <c r="N78" s="4"/>
      <c r="O78" s="5"/>
      <c r="P78" s="5"/>
      <c r="Q78" s="5"/>
    </row>
    <row r="79" spans="1:17" ht="170.5" x14ac:dyDescent="0.35">
      <c r="A79" s="4" t="s">
        <v>49</v>
      </c>
      <c r="B79" s="4" t="s">
        <v>377</v>
      </c>
      <c r="C79" s="5" t="s">
        <v>388</v>
      </c>
      <c r="D79" s="4" t="s">
        <v>389</v>
      </c>
      <c r="E79" s="5" t="s">
        <v>52</v>
      </c>
      <c r="F79" s="4" t="s">
        <v>390</v>
      </c>
      <c r="G79" s="4" t="s">
        <v>391</v>
      </c>
      <c r="H79" s="4" t="s">
        <v>392</v>
      </c>
      <c r="I79" s="4" t="s">
        <v>393</v>
      </c>
      <c r="J79" s="4"/>
      <c r="K79" s="5" t="s">
        <v>57</v>
      </c>
      <c r="L79" s="5" t="s">
        <v>57</v>
      </c>
      <c r="M79" s="5" t="s">
        <v>57</v>
      </c>
      <c r="N79" s="4"/>
      <c r="O79" s="5"/>
      <c r="P79" s="5"/>
      <c r="Q79" s="5"/>
    </row>
    <row r="80" spans="1:17" ht="108.5" x14ac:dyDescent="0.35">
      <c r="A80" s="4" t="s">
        <v>49</v>
      </c>
      <c r="B80" s="4" t="s">
        <v>377</v>
      </c>
      <c r="C80" s="5" t="s">
        <v>394</v>
      </c>
      <c r="D80" s="4" t="s">
        <v>395</v>
      </c>
      <c r="E80" s="5" t="s">
        <v>52</v>
      </c>
      <c r="F80" s="4" t="s">
        <v>396</v>
      </c>
      <c r="G80" s="4" t="s">
        <v>397</v>
      </c>
      <c r="H80" s="4" t="s">
        <v>398</v>
      </c>
      <c r="I80" s="4" t="s">
        <v>399</v>
      </c>
      <c r="J80" s="4"/>
      <c r="K80" s="5" t="s">
        <v>57</v>
      </c>
      <c r="L80" s="5" t="s">
        <v>57</v>
      </c>
      <c r="M80" s="5" t="s">
        <v>57</v>
      </c>
      <c r="N80" s="4"/>
      <c r="O80" s="5"/>
      <c r="P80" s="5"/>
      <c r="Q80" s="5"/>
    </row>
    <row r="81" spans="1:17" ht="139.5" x14ac:dyDescent="0.35">
      <c r="A81" s="4" t="s">
        <v>49</v>
      </c>
      <c r="B81" s="4" t="s">
        <v>377</v>
      </c>
      <c r="C81" s="5" t="s">
        <v>400</v>
      </c>
      <c r="D81" s="4" t="s">
        <v>401</v>
      </c>
      <c r="E81" s="5" t="s">
        <v>52</v>
      </c>
      <c r="F81" s="4" t="s">
        <v>402</v>
      </c>
      <c r="G81" s="4" t="s">
        <v>403</v>
      </c>
      <c r="H81" s="4" t="s">
        <v>227</v>
      </c>
      <c r="I81" s="4" t="s">
        <v>404</v>
      </c>
      <c r="J81" s="4"/>
      <c r="K81" s="5" t="s">
        <v>57</v>
      </c>
      <c r="L81" s="5" t="s">
        <v>57</v>
      </c>
      <c r="M81" s="5" t="s">
        <v>57</v>
      </c>
      <c r="N81" s="4"/>
      <c r="O81" s="5"/>
      <c r="P81" s="5"/>
      <c r="Q81" s="5"/>
    </row>
    <row r="82" spans="1:17" ht="46.5" x14ac:dyDescent="0.35">
      <c r="A82" s="4" t="s">
        <v>49</v>
      </c>
      <c r="B82" s="4" t="s">
        <v>377</v>
      </c>
      <c r="C82" s="5" t="s">
        <v>405</v>
      </c>
      <c r="D82" s="4" t="s">
        <v>406</v>
      </c>
      <c r="E82" s="5" t="s">
        <v>52</v>
      </c>
      <c r="F82" s="4" t="s">
        <v>407</v>
      </c>
      <c r="G82" s="4" t="s">
        <v>408</v>
      </c>
      <c r="H82" s="4" t="s">
        <v>125</v>
      </c>
      <c r="I82" s="4" t="s">
        <v>409</v>
      </c>
      <c r="J82" s="4"/>
      <c r="K82" s="5" t="s">
        <v>57</v>
      </c>
      <c r="L82" s="5" t="s">
        <v>57</v>
      </c>
      <c r="M82" s="5" t="s">
        <v>57</v>
      </c>
      <c r="N82" s="4"/>
      <c r="O82" s="5"/>
      <c r="P82" s="5"/>
      <c r="Q82" s="5"/>
    </row>
    <row r="83" spans="1:17" ht="93" x14ac:dyDescent="0.35">
      <c r="A83" s="4" t="s">
        <v>49</v>
      </c>
      <c r="B83" s="4" t="s">
        <v>377</v>
      </c>
      <c r="C83" s="5" t="s">
        <v>410</v>
      </c>
      <c r="D83" s="4" t="s">
        <v>411</v>
      </c>
      <c r="E83" s="5" t="s">
        <v>52</v>
      </c>
      <c r="F83" s="4" t="s">
        <v>412</v>
      </c>
      <c r="G83" s="4" t="s">
        <v>413</v>
      </c>
      <c r="H83" s="4" t="s">
        <v>125</v>
      </c>
      <c r="I83" s="4" t="s">
        <v>414</v>
      </c>
      <c r="J83" s="4"/>
      <c r="K83" s="5" t="s">
        <v>57</v>
      </c>
      <c r="L83" s="5" t="s">
        <v>57</v>
      </c>
      <c r="M83" s="5" t="s">
        <v>57</v>
      </c>
      <c r="N83" s="4"/>
      <c r="O83" s="5"/>
      <c r="P83" s="5"/>
      <c r="Q83" s="5"/>
    </row>
    <row r="84" spans="1:17" ht="93" x14ac:dyDescent="0.35">
      <c r="A84" s="4" t="s">
        <v>49</v>
      </c>
      <c r="B84" s="4" t="s">
        <v>377</v>
      </c>
      <c r="C84" s="5" t="s">
        <v>415</v>
      </c>
      <c r="D84" s="4" t="s">
        <v>416</v>
      </c>
      <c r="E84" s="5" t="s">
        <v>52</v>
      </c>
      <c r="F84" s="4" t="s">
        <v>417</v>
      </c>
      <c r="G84" s="4" t="s">
        <v>418</v>
      </c>
      <c r="H84" s="4" t="s">
        <v>419</v>
      </c>
      <c r="I84" s="4" t="s">
        <v>420</v>
      </c>
      <c r="J84" s="4"/>
      <c r="K84" s="5" t="s">
        <v>57</v>
      </c>
      <c r="L84" s="5" t="s">
        <v>57</v>
      </c>
      <c r="M84" s="5" t="s">
        <v>57</v>
      </c>
      <c r="N84" s="4"/>
      <c r="O84" s="5"/>
      <c r="P84" s="5"/>
      <c r="Q84" s="5"/>
    </row>
    <row r="85" spans="1:17" ht="93" x14ac:dyDescent="0.35">
      <c r="A85" s="4" t="s">
        <v>49</v>
      </c>
      <c r="B85" s="4" t="s">
        <v>377</v>
      </c>
      <c r="C85" s="5" t="s">
        <v>421</v>
      </c>
      <c r="D85" s="4" t="s">
        <v>422</v>
      </c>
      <c r="E85" s="5" t="s">
        <v>52</v>
      </c>
      <c r="F85" s="4" t="s">
        <v>423</v>
      </c>
      <c r="G85" s="4" t="s">
        <v>424</v>
      </c>
      <c r="H85" s="4" t="s">
        <v>425</v>
      </c>
      <c r="I85" s="4" t="s">
        <v>426</v>
      </c>
      <c r="J85" s="4"/>
      <c r="K85" s="5" t="s">
        <v>57</v>
      </c>
      <c r="L85" s="5" t="s">
        <v>57</v>
      </c>
      <c r="M85" s="5" t="s">
        <v>57</v>
      </c>
      <c r="N85" s="4"/>
      <c r="O85" s="5"/>
      <c r="P85" s="5"/>
      <c r="Q85" s="5"/>
    </row>
    <row r="86" spans="1:17" ht="62" x14ac:dyDescent="0.35">
      <c r="A86" s="4" t="s">
        <v>49</v>
      </c>
      <c r="B86" s="4" t="s">
        <v>377</v>
      </c>
      <c r="C86" s="5" t="s">
        <v>427</v>
      </c>
      <c r="D86" s="4" t="s">
        <v>428</v>
      </c>
      <c r="E86" s="5" t="s">
        <v>52</v>
      </c>
      <c r="F86" s="4" t="s">
        <v>429</v>
      </c>
      <c r="G86" s="4" t="s">
        <v>430</v>
      </c>
      <c r="H86" s="4" t="s">
        <v>125</v>
      </c>
      <c r="I86" s="4" t="s">
        <v>431</v>
      </c>
      <c r="J86" s="4"/>
      <c r="K86" s="5" t="s">
        <v>57</v>
      </c>
      <c r="L86" s="5" t="s">
        <v>57</v>
      </c>
      <c r="M86" s="5" t="s">
        <v>57</v>
      </c>
      <c r="N86" s="4"/>
      <c r="O86" s="5"/>
      <c r="P86" s="5"/>
      <c r="Q86" s="5"/>
    </row>
    <row r="87" spans="1:17" ht="93" x14ac:dyDescent="0.35">
      <c r="A87" s="4" t="s">
        <v>49</v>
      </c>
      <c r="B87" s="4" t="s">
        <v>377</v>
      </c>
      <c r="C87" s="5" t="s">
        <v>432</v>
      </c>
      <c r="D87" s="4" t="s">
        <v>433</v>
      </c>
      <c r="E87" s="5" t="s">
        <v>52</v>
      </c>
      <c r="F87" s="4" t="s">
        <v>434</v>
      </c>
      <c r="G87" s="4" t="s">
        <v>435</v>
      </c>
      <c r="H87" s="4" t="s">
        <v>436</v>
      </c>
      <c r="I87" s="4" t="s">
        <v>437</v>
      </c>
      <c r="J87" s="4"/>
      <c r="K87" s="5" t="s">
        <v>57</v>
      </c>
      <c r="L87" s="5" t="s">
        <v>57</v>
      </c>
      <c r="M87" s="5" t="s">
        <v>57</v>
      </c>
      <c r="N87" s="4"/>
      <c r="O87" s="5"/>
      <c r="P87" s="5"/>
      <c r="Q87" s="5"/>
    </row>
    <row r="88" spans="1:17" ht="77.5" x14ac:dyDescent="0.35">
      <c r="A88" s="4" t="s">
        <v>49</v>
      </c>
      <c r="B88" s="4" t="s">
        <v>377</v>
      </c>
      <c r="C88" s="5" t="s">
        <v>438</v>
      </c>
      <c r="D88" s="4" t="s">
        <v>439</v>
      </c>
      <c r="E88" s="5" t="s">
        <v>52</v>
      </c>
      <c r="F88" s="4" t="s">
        <v>440</v>
      </c>
      <c r="G88" s="4" t="s">
        <v>441</v>
      </c>
      <c r="H88" s="4" t="s">
        <v>398</v>
      </c>
      <c r="I88" s="4" t="s">
        <v>442</v>
      </c>
      <c r="J88" s="4"/>
      <c r="K88" s="5" t="s">
        <v>57</v>
      </c>
      <c r="L88" s="5" t="s">
        <v>57</v>
      </c>
      <c r="M88" s="5" t="s">
        <v>57</v>
      </c>
      <c r="N88" s="4"/>
      <c r="O88" s="5"/>
      <c r="P88" s="5"/>
      <c r="Q88" s="5"/>
    </row>
    <row r="89" spans="1:17" ht="77.5" x14ac:dyDescent="0.35">
      <c r="A89" s="4" t="s">
        <v>49</v>
      </c>
      <c r="B89" s="4" t="s">
        <v>377</v>
      </c>
      <c r="C89" s="5" t="s">
        <v>443</v>
      </c>
      <c r="D89" s="4" t="s">
        <v>444</v>
      </c>
      <c r="E89" s="5" t="s">
        <v>108</v>
      </c>
      <c r="F89" s="4" t="s">
        <v>445</v>
      </c>
      <c r="G89" s="4" t="s">
        <v>446</v>
      </c>
      <c r="H89" s="4" t="s">
        <v>447</v>
      </c>
      <c r="I89" s="4" t="s">
        <v>448</v>
      </c>
      <c r="J89" s="4"/>
      <c r="K89" s="5" t="s">
        <v>57</v>
      </c>
      <c r="L89" s="5" t="s">
        <v>57</v>
      </c>
      <c r="M89" s="5" t="s">
        <v>57</v>
      </c>
      <c r="N89" s="4"/>
      <c r="O89" s="5"/>
      <c r="P89" s="5"/>
      <c r="Q89" s="5"/>
    </row>
    <row r="90" spans="1:17" ht="77.5" x14ac:dyDescent="0.35">
      <c r="A90" s="4" t="s">
        <v>49</v>
      </c>
      <c r="B90" s="4" t="s">
        <v>377</v>
      </c>
      <c r="C90" s="5" t="s">
        <v>449</v>
      </c>
      <c r="D90" s="4" t="s">
        <v>450</v>
      </c>
      <c r="E90" s="5" t="s">
        <v>52</v>
      </c>
      <c r="F90" s="4" t="s">
        <v>451</v>
      </c>
      <c r="G90" s="4" t="s">
        <v>452</v>
      </c>
      <c r="H90" s="4" t="s">
        <v>233</v>
      </c>
      <c r="I90" s="4" t="s">
        <v>453</v>
      </c>
      <c r="J90" s="4"/>
      <c r="K90" s="5" t="s">
        <v>57</v>
      </c>
      <c r="L90" s="5" t="s">
        <v>57</v>
      </c>
      <c r="M90" s="5" t="s">
        <v>57</v>
      </c>
      <c r="N90" s="4"/>
      <c r="O90" s="5"/>
      <c r="P90" s="5"/>
      <c r="Q90" s="5"/>
    </row>
    <row r="91" spans="1:17" ht="62" x14ac:dyDescent="0.35">
      <c r="A91" s="4" t="s">
        <v>49</v>
      </c>
      <c r="B91" s="4" t="s">
        <v>377</v>
      </c>
      <c r="C91" s="5" t="s">
        <v>454</v>
      </c>
      <c r="D91" s="4" t="s">
        <v>455</v>
      </c>
      <c r="E91" s="5" t="s">
        <v>52</v>
      </c>
      <c r="F91" s="4" t="s">
        <v>456</v>
      </c>
      <c r="G91" s="4" t="s">
        <v>457</v>
      </c>
      <c r="H91" s="4" t="s">
        <v>458</v>
      </c>
      <c r="I91" s="4" t="s">
        <v>459</v>
      </c>
      <c r="J91" s="4"/>
      <c r="K91" s="5" t="s">
        <v>57</v>
      </c>
      <c r="L91" s="5" t="s">
        <v>57</v>
      </c>
      <c r="M91" s="5" t="s">
        <v>57</v>
      </c>
      <c r="N91" s="4"/>
      <c r="O91" s="5"/>
      <c r="P91" s="5"/>
      <c r="Q91" s="5"/>
    </row>
    <row r="92" spans="1:17" ht="77.5" x14ac:dyDescent="0.35">
      <c r="A92" s="4" t="s">
        <v>49</v>
      </c>
      <c r="B92" s="4" t="s">
        <v>377</v>
      </c>
      <c r="C92" s="5" t="s">
        <v>460</v>
      </c>
      <c r="D92" s="4" t="s">
        <v>461</v>
      </c>
      <c r="E92" s="5" t="s">
        <v>52</v>
      </c>
      <c r="F92" s="4" t="s">
        <v>462</v>
      </c>
      <c r="G92" s="4" t="s">
        <v>463</v>
      </c>
      <c r="H92" s="4" t="s">
        <v>125</v>
      </c>
      <c r="I92" s="4" t="s">
        <v>464</v>
      </c>
      <c r="J92" s="4"/>
      <c r="K92" s="5" t="s">
        <v>57</v>
      </c>
      <c r="L92" s="5" t="s">
        <v>57</v>
      </c>
      <c r="M92" s="5" t="s">
        <v>57</v>
      </c>
      <c r="N92" s="4"/>
      <c r="O92" s="5"/>
      <c r="P92" s="5"/>
      <c r="Q92" s="5"/>
    </row>
    <row r="93" spans="1:17" ht="31" x14ac:dyDescent="0.35">
      <c r="A93" s="4" t="s">
        <v>49</v>
      </c>
      <c r="B93" s="4" t="s">
        <v>377</v>
      </c>
      <c r="C93" s="5" t="s">
        <v>465</v>
      </c>
      <c r="D93" s="4" t="s">
        <v>466</v>
      </c>
      <c r="E93" s="5" t="s">
        <v>108</v>
      </c>
      <c r="F93" s="4" t="s">
        <v>467</v>
      </c>
      <c r="G93" s="4" t="s">
        <v>468</v>
      </c>
      <c r="H93" s="4" t="s">
        <v>233</v>
      </c>
      <c r="I93" s="4" t="s">
        <v>469</v>
      </c>
      <c r="J93" s="4"/>
      <c r="K93" s="5" t="s">
        <v>57</v>
      </c>
      <c r="L93" s="5" t="s">
        <v>57</v>
      </c>
      <c r="M93" s="5" t="s">
        <v>57</v>
      </c>
      <c r="N93" s="4"/>
      <c r="O93" s="5"/>
      <c r="P93" s="5"/>
      <c r="Q93" s="5"/>
    </row>
    <row r="94" spans="1:17" ht="62" x14ac:dyDescent="0.35">
      <c r="A94" s="4" t="s">
        <v>49</v>
      </c>
      <c r="B94" s="4" t="s">
        <v>377</v>
      </c>
      <c r="C94" s="5" t="s">
        <v>470</v>
      </c>
      <c r="D94" s="4" t="s">
        <v>471</v>
      </c>
      <c r="E94" s="5" t="s">
        <v>52</v>
      </c>
      <c r="F94" s="4" t="s">
        <v>472</v>
      </c>
      <c r="G94" s="4" t="s">
        <v>473</v>
      </c>
      <c r="H94" s="4" t="s">
        <v>233</v>
      </c>
      <c r="I94" s="4" t="s">
        <v>474</v>
      </c>
      <c r="J94" s="4"/>
      <c r="K94" s="5" t="s">
        <v>57</v>
      </c>
      <c r="L94" s="5" t="s">
        <v>57</v>
      </c>
      <c r="M94" s="5" t="s">
        <v>57</v>
      </c>
      <c r="N94" s="4"/>
      <c r="O94" s="5"/>
      <c r="P94" s="5"/>
      <c r="Q94" s="5"/>
    </row>
    <row r="95" spans="1:17" ht="46.5" x14ac:dyDescent="0.35">
      <c r="A95" s="4" t="s">
        <v>49</v>
      </c>
      <c r="B95" s="4" t="s">
        <v>377</v>
      </c>
      <c r="C95" s="5" t="s">
        <v>475</v>
      </c>
      <c r="D95" s="4" t="s">
        <v>476</v>
      </c>
      <c r="E95" s="5" t="s">
        <v>108</v>
      </c>
      <c r="F95" s="4" t="s">
        <v>477</v>
      </c>
      <c r="G95" s="4" t="s">
        <v>478</v>
      </c>
      <c r="H95" s="4" t="s">
        <v>125</v>
      </c>
      <c r="I95" s="4" t="s">
        <v>479</v>
      </c>
      <c r="J95" s="4"/>
      <c r="K95" s="5" t="s">
        <v>57</v>
      </c>
      <c r="L95" s="5" t="s">
        <v>57</v>
      </c>
      <c r="M95" s="5" t="s">
        <v>57</v>
      </c>
      <c r="N95" s="4"/>
      <c r="O95" s="5"/>
      <c r="P95" s="5"/>
      <c r="Q95" s="5"/>
    </row>
    <row r="96" spans="1:17" ht="31" x14ac:dyDescent="0.35">
      <c r="A96" s="4" t="s">
        <v>49</v>
      </c>
      <c r="B96" s="4" t="s">
        <v>377</v>
      </c>
      <c r="C96" s="5" t="s">
        <v>480</v>
      </c>
      <c r="D96" s="4" t="s">
        <v>481</v>
      </c>
      <c r="E96" s="5" t="s">
        <v>181</v>
      </c>
      <c r="F96" s="4" t="s">
        <v>429</v>
      </c>
      <c r="G96" s="4" t="s">
        <v>482</v>
      </c>
      <c r="H96" s="4" t="s">
        <v>125</v>
      </c>
      <c r="I96" s="4" t="s">
        <v>483</v>
      </c>
      <c r="J96" s="4"/>
      <c r="K96" s="5" t="s">
        <v>57</v>
      </c>
      <c r="L96" s="5" t="s">
        <v>57</v>
      </c>
      <c r="M96" s="5" t="s">
        <v>57</v>
      </c>
      <c r="N96" s="4"/>
      <c r="O96" s="5"/>
      <c r="P96" s="5"/>
      <c r="Q96" s="5"/>
    </row>
    <row r="97" spans="1:17" ht="124" x14ac:dyDescent="0.35">
      <c r="A97" s="4" t="s">
        <v>49</v>
      </c>
      <c r="B97" s="4" t="s">
        <v>377</v>
      </c>
      <c r="C97" s="5" t="s">
        <v>484</v>
      </c>
      <c r="D97" s="4" t="s">
        <v>485</v>
      </c>
      <c r="E97" s="5" t="s">
        <v>52</v>
      </c>
      <c r="F97" s="4" t="s">
        <v>486</v>
      </c>
      <c r="G97" s="4" t="s">
        <v>487</v>
      </c>
      <c r="H97" s="4" t="s">
        <v>488</v>
      </c>
      <c r="I97" s="4" t="s">
        <v>489</v>
      </c>
      <c r="J97" s="4"/>
      <c r="K97" s="5" t="s">
        <v>57</v>
      </c>
      <c r="L97" s="5" t="s">
        <v>57</v>
      </c>
      <c r="M97" s="5" t="s">
        <v>57</v>
      </c>
      <c r="N97" s="4"/>
      <c r="O97" s="5"/>
      <c r="P97" s="5"/>
      <c r="Q97" s="5"/>
    </row>
    <row r="98" spans="1:17" ht="77.5" x14ac:dyDescent="0.35">
      <c r="A98" s="4" t="s">
        <v>49</v>
      </c>
      <c r="B98" s="4" t="s">
        <v>377</v>
      </c>
      <c r="C98" s="5" t="s">
        <v>490</v>
      </c>
      <c r="D98" s="4" t="s">
        <v>491</v>
      </c>
      <c r="E98" s="5" t="s">
        <v>52</v>
      </c>
      <c r="F98" s="4" t="s">
        <v>492</v>
      </c>
      <c r="G98" s="4" t="s">
        <v>493</v>
      </c>
      <c r="H98" s="4" t="s">
        <v>494</v>
      </c>
      <c r="I98" s="4" t="s">
        <v>495</v>
      </c>
      <c r="J98" s="4"/>
      <c r="K98" s="5" t="s">
        <v>57</v>
      </c>
      <c r="L98" s="5" t="s">
        <v>57</v>
      </c>
      <c r="M98" s="5" t="s">
        <v>57</v>
      </c>
      <c r="N98" s="4"/>
      <c r="O98" s="5"/>
      <c r="P98" s="5"/>
      <c r="Q98" s="5"/>
    </row>
    <row r="99" spans="1:17" ht="15.5" x14ac:dyDescent="0.35">
      <c r="A99" s="3"/>
      <c r="B99" s="3"/>
      <c r="C99" s="6" t="s">
        <v>496</v>
      </c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8"/>
    </row>
    <row r="100" spans="1:17" ht="77.5" x14ac:dyDescent="0.35">
      <c r="A100" s="4" t="s">
        <v>49</v>
      </c>
      <c r="B100" s="4" t="s">
        <v>497</v>
      </c>
      <c r="C100" s="5" t="s">
        <v>498</v>
      </c>
      <c r="D100" s="4" t="s">
        <v>499</v>
      </c>
      <c r="E100" s="5" t="s">
        <v>52</v>
      </c>
      <c r="F100" s="4" t="s">
        <v>380</v>
      </c>
      <c r="G100" s="4" t="s">
        <v>500</v>
      </c>
      <c r="H100" s="4" t="s">
        <v>125</v>
      </c>
      <c r="I100" s="4" t="s">
        <v>501</v>
      </c>
      <c r="J100" s="4"/>
      <c r="K100" s="5" t="s">
        <v>57</v>
      </c>
      <c r="L100" s="5" t="s">
        <v>57</v>
      </c>
      <c r="M100" s="5" t="s">
        <v>57</v>
      </c>
      <c r="N100" s="4"/>
      <c r="O100" s="5"/>
      <c r="P100" s="5"/>
      <c r="Q100" s="5"/>
    </row>
    <row r="101" spans="1:17" ht="77.5" x14ac:dyDescent="0.35">
      <c r="A101" s="4" t="s">
        <v>49</v>
      </c>
      <c r="B101" s="4" t="s">
        <v>497</v>
      </c>
      <c r="C101" s="5" t="s">
        <v>502</v>
      </c>
      <c r="D101" s="4" t="s">
        <v>503</v>
      </c>
      <c r="E101" s="5" t="s">
        <v>52</v>
      </c>
      <c r="F101" s="4" t="s">
        <v>504</v>
      </c>
      <c r="G101" s="4" t="s">
        <v>505</v>
      </c>
      <c r="H101" s="4" t="s">
        <v>506</v>
      </c>
      <c r="I101" s="4" t="s">
        <v>507</v>
      </c>
      <c r="J101" s="4"/>
      <c r="K101" s="5" t="s">
        <v>57</v>
      </c>
      <c r="L101" s="5" t="s">
        <v>57</v>
      </c>
      <c r="M101" s="5" t="s">
        <v>57</v>
      </c>
      <c r="N101" s="4"/>
      <c r="O101" s="5"/>
      <c r="P101" s="5"/>
      <c r="Q101" s="5"/>
    </row>
    <row r="102" spans="1:17" ht="31" x14ac:dyDescent="0.35">
      <c r="A102" s="4" t="s">
        <v>49</v>
      </c>
      <c r="B102" s="4" t="s">
        <v>497</v>
      </c>
      <c r="C102" s="5" t="s">
        <v>508</v>
      </c>
      <c r="D102" s="4" t="s">
        <v>509</v>
      </c>
      <c r="E102" s="5" t="s">
        <v>52</v>
      </c>
      <c r="F102" s="4" t="s">
        <v>451</v>
      </c>
      <c r="G102" s="4" t="s">
        <v>510</v>
      </c>
      <c r="H102" s="4" t="s">
        <v>125</v>
      </c>
      <c r="I102" s="4" t="s">
        <v>511</v>
      </c>
      <c r="J102" s="4"/>
      <c r="K102" s="5" t="s">
        <v>57</v>
      </c>
      <c r="L102" s="5" t="s">
        <v>57</v>
      </c>
      <c r="M102" s="5" t="s">
        <v>57</v>
      </c>
      <c r="N102" s="4"/>
      <c r="O102" s="5"/>
      <c r="P102" s="5"/>
      <c r="Q102" s="5"/>
    </row>
    <row r="103" spans="1:17" ht="93" x14ac:dyDescent="0.35">
      <c r="A103" s="4" t="s">
        <v>49</v>
      </c>
      <c r="B103" s="4" t="s">
        <v>497</v>
      </c>
      <c r="C103" s="5" t="s">
        <v>512</v>
      </c>
      <c r="D103" s="4" t="s">
        <v>513</v>
      </c>
      <c r="E103" s="5" t="s">
        <v>52</v>
      </c>
      <c r="F103" s="4" t="s">
        <v>514</v>
      </c>
      <c r="G103" s="4" t="s">
        <v>515</v>
      </c>
      <c r="H103" s="4" t="s">
        <v>516</v>
      </c>
      <c r="I103" s="4" t="s">
        <v>517</v>
      </c>
      <c r="J103" s="4"/>
      <c r="K103" s="5" t="s">
        <v>57</v>
      </c>
      <c r="L103" s="5" t="s">
        <v>57</v>
      </c>
      <c r="M103" s="5" t="s">
        <v>57</v>
      </c>
      <c r="N103" s="4"/>
      <c r="O103" s="5"/>
      <c r="P103" s="5"/>
      <c r="Q103" s="5"/>
    </row>
    <row r="104" spans="1:17" ht="46.5" x14ac:dyDescent="0.35">
      <c r="A104" s="4" t="s">
        <v>49</v>
      </c>
      <c r="B104" s="4" t="s">
        <v>497</v>
      </c>
      <c r="C104" s="5" t="s">
        <v>518</v>
      </c>
      <c r="D104" s="4" t="s">
        <v>519</v>
      </c>
      <c r="E104" s="5" t="s">
        <v>52</v>
      </c>
      <c r="F104" s="4" t="s">
        <v>520</v>
      </c>
      <c r="G104" s="4" t="s">
        <v>521</v>
      </c>
      <c r="H104" s="4" t="s">
        <v>522</v>
      </c>
      <c r="I104" s="4" t="s">
        <v>523</v>
      </c>
      <c r="J104" s="4"/>
      <c r="K104" s="5" t="s">
        <v>57</v>
      </c>
      <c r="L104" s="5" t="s">
        <v>57</v>
      </c>
      <c r="M104" s="5" t="s">
        <v>57</v>
      </c>
      <c r="N104" s="4"/>
      <c r="O104" s="5"/>
      <c r="P104" s="5"/>
      <c r="Q104" s="5"/>
    </row>
    <row r="105" spans="1:17" ht="62" x14ac:dyDescent="0.35">
      <c r="A105" s="4" t="s">
        <v>49</v>
      </c>
      <c r="B105" s="4" t="s">
        <v>497</v>
      </c>
      <c r="C105" s="5" t="s">
        <v>524</v>
      </c>
      <c r="D105" s="4" t="s">
        <v>525</v>
      </c>
      <c r="E105" s="5" t="s">
        <v>108</v>
      </c>
      <c r="F105" s="4" t="s">
        <v>526</v>
      </c>
      <c r="G105" s="4" t="s">
        <v>527</v>
      </c>
      <c r="H105" s="4" t="s">
        <v>125</v>
      </c>
      <c r="I105" s="4" t="s">
        <v>528</v>
      </c>
      <c r="J105" s="4"/>
      <c r="K105" s="5" t="s">
        <v>57</v>
      </c>
      <c r="L105" s="5" t="s">
        <v>57</v>
      </c>
      <c r="M105" s="5" t="s">
        <v>57</v>
      </c>
      <c r="N105" s="4"/>
      <c r="O105" s="5"/>
      <c r="P105" s="5"/>
      <c r="Q105" s="5"/>
    </row>
    <row r="106" spans="1:17" ht="93" x14ac:dyDescent="0.35">
      <c r="A106" s="4" t="s">
        <v>49</v>
      </c>
      <c r="B106" s="4" t="s">
        <v>497</v>
      </c>
      <c r="C106" s="5" t="s">
        <v>529</v>
      </c>
      <c r="D106" s="4" t="s">
        <v>530</v>
      </c>
      <c r="E106" s="5" t="s">
        <v>52</v>
      </c>
      <c r="F106" s="4" t="s">
        <v>531</v>
      </c>
      <c r="G106" s="4" t="s">
        <v>532</v>
      </c>
      <c r="H106" s="4" t="s">
        <v>533</v>
      </c>
      <c r="I106" s="4" t="s">
        <v>534</v>
      </c>
      <c r="J106" s="4"/>
      <c r="K106" s="5" t="s">
        <v>57</v>
      </c>
      <c r="L106" s="5" t="s">
        <v>57</v>
      </c>
      <c r="M106" s="5" t="s">
        <v>57</v>
      </c>
      <c r="N106" s="4"/>
      <c r="O106" s="5"/>
      <c r="P106" s="5"/>
      <c r="Q106" s="5"/>
    </row>
    <row r="107" spans="1:17" ht="62" x14ac:dyDescent="0.35">
      <c r="A107" s="4" t="s">
        <v>49</v>
      </c>
      <c r="B107" s="4" t="s">
        <v>497</v>
      </c>
      <c r="C107" s="5" t="s">
        <v>535</v>
      </c>
      <c r="D107" s="4" t="s">
        <v>536</v>
      </c>
      <c r="E107" s="5" t="s">
        <v>108</v>
      </c>
      <c r="F107" s="4" t="s">
        <v>537</v>
      </c>
      <c r="G107" s="4" t="s">
        <v>538</v>
      </c>
      <c r="H107" s="4" t="s">
        <v>539</v>
      </c>
      <c r="I107" s="4" t="s">
        <v>540</v>
      </c>
      <c r="J107" s="4"/>
      <c r="K107" s="5" t="s">
        <v>57</v>
      </c>
      <c r="L107" s="5" t="s">
        <v>57</v>
      </c>
      <c r="M107" s="5" t="s">
        <v>57</v>
      </c>
      <c r="N107" s="4"/>
      <c r="O107" s="5"/>
      <c r="P107" s="5"/>
      <c r="Q107" s="5"/>
    </row>
    <row r="108" spans="1:17" ht="62" x14ac:dyDescent="0.35">
      <c r="A108" s="4" t="s">
        <v>49</v>
      </c>
      <c r="B108" s="4" t="s">
        <v>497</v>
      </c>
      <c r="C108" s="5" t="s">
        <v>541</v>
      </c>
      <c r="D108" s="4" t="s">
        <v>542</v>
      </c>
      <c r="E108" s="5" t="s">
        <v>108</v>
      </c>
      <c r="F108" s="4" t="s">
        <v>451</v>
      </c>
      <c r="G108" s="4" t="s">
        <v>543</v>
      </c>
      <c r="H108" s="4" t="s">
        <v>544</v>
      </c>
      <c r="I108" s="4" t="s">
        <v>545</v>
      </c>
      <c r="J108" s="4"/>
      <c r="K108" s="5" t="s">
        <v>57</v>
      </c>
      <c r="L108" s="5" t="s">
        <v>57</v>
      </c>
      <c r="M108" s="5" t="s">
        <v>57</v>
      </c>
      <c r="N108" s="4"/>
      <c r="O108" s="5"/>
      <c r="P108" s="5"/>
      <c r="Q108" s="5"/>
    </row>
    <row r="109" spans="1:17" ht="46.5" x14ac:dyDescent="0.35">
      <c r="A109" s="4" t="s">
        <v>49</v>
      </c>
      <c r="B109" s="4" t="s">
        <v>497</v>
      </c>
      <c r="C109" s="5" t="s">
        <v>546</v>
      </c>
      <c r="D109" s="4" t="s">
        <v>547</v>
      </c>
      <c r="E109" s="5" t="s">
        <v>52</v>
      </c>
      <c r="F109" s="4" t="s">
        <v>548</v>
      </c>
      <c r="G109" s="4" t="s">
        <v>549</v>
      </c>
      <c r="H109" s="4" t="s">
        <v>550</v>
      </c>
      <c r="I109" s="4" t="s">
        <v>551</v>
      </c>
      <c r="J109" s="4"/>
      <c r="K109" s="5" t="s">
        <v>57</v>
      </c>
      <c r="L109" s="5" t="s">
        <v>57</v>
      </c>
      <c r="M109" s="5" t="s">
        <v>57</v>
      </c>
      <c r="N109" s="4"/>
      <c r="O109" s="5"/>
      <c r="P109" s="5"/>
      <c r="Q109" s="5"/>
    </row>
    <row r="110" spans="1:17" ht="15.5" x14ac:dyDescent="0.35">
      <c r="A110" s="3"/>
      <c r="B110" s="3"/>
      <c r="C110" s="6" t="s">
        <v>552</v>
      </c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8"/>
    </row>
    <row r="111" spans="1:17" ht="108.5" x14ac:dyDescent="0.35">
      <c r="A111" s="4" t="s">
        <v>49</v>
      </c>
      <c r="B111" s="4" t="s">
        <v>553</v>
      </c>
      <c r="C111" s="5" t="s">
        <v>554</v>
      </c>
      <c r="D111" s="4" t="s">
        <v>555</v>
      </c>
      <c r="E111" s="5" t="s">
        <v>52</v>
      </c>
      <c r="F111" s="4" t="s">
        <v>556</v>
      </c>
      <c r="G111" s="4" t="s">
        <v>557</v>
      </c>
      <c r="H111" s="4" t="s">
        <v>558</v>
      </c>
      <c r="I111" s="4" t="s">
        <v>559</v>
      </c>
      <c r="J111" s="4"/>
      <c r="K111" s="5" t="s">
        <v>57</v>
      </c>
      <c r="L111" s="5" t="s">
        <v>57</v>
      </c>
      <c r="M111" s="5" t="s">
        <v>57</v>
      </c>
      <c r="N111" s="4"/>
      <c r="O111" s="5"/>
      <c r="P111" s="5"/>
      <c r="Q111" s="5"/>
    </row>
    <row r="112" spans="1:17" ht="155" x14ac:dyDescent="0.35">
      <c r="A112" s="4" t="s">
        <v>49</v>
      </c>
      <c r="B112" s="4" t="s">
        <v>553</v>
      </c>
      <c r="C112" s="5" t="s">
        <v>560</v>
      </c>
      <c r="D112" s="4" t="s">
        <v>561</v>
      </c>
      <c r="E112" s="5" t="s">
        <v>52</v>
      </c>
      <c r="F112" s="4" t="s">
        <v>562</v>
      </c>
      <c r="G112" s="4" t="s">
        <v>563</v>
      </c>
      <c r="H112" s="4" t="s">
        <v>564</v>
      </c>
      <c r="I112" s="4" t="s">
        <v>565</v>
      </c>
      <c r="J112" s="4"/>
      <c r="K112" s="5" t="s">
        <v>57</v>
      </c>
      <c r="L112" s="5" t="s">
        <v>57</v>
      </c>
      <c r="M112" s="5" t="s">
        <v>57</v>
      </c>
      <c r="N112" s="4"/>
      <c r="O112" s="5"/>
      <c r="P112" s="5"/>
      <c r="Q112" s="5"/>
    </row>
    <row r="113" spans="1:17" ht="62" x14ac:dyDescent="0.35">
      <c r="A113" s="4" t="s">
        <v>49</v>
      </c>
      <c r="B113" s="4" t="s">
        <v>553</v>
      </c>
      <c r="C113" s="5" t="s">
        <v>566</v>
      </c>
      <c r="D113" s="4" t="s">
        <v>567</v>
      </c>
      <c r="E113" s="5" t="s">
        <v>52</v>
      </c>
      <c r="F113" s="4" t="s">
        <v>568</v>
      </c>
      <c r="G113" s="4" t="s">
        <v>569</v>
      </c>
      <c r="H113" s="4" t="s">
        <v>570</v>
      </c>
      <c r="I113" s="4" t="s">
        <v>571</v>
      </c>
      <c r="J113" s="4"/>
      <c r="K113" s="5" t="s">
        <v>57</v>
      </c>
      <c r="L113" s="5" t="s">
        <v>57</v>
      </c>
      <c r="M113" s="5" t="s">
        <v>57</v>
      </c>
      <c r="N113" s="4"/>
      <c r="O113" s="5"/>
      <c r="P113" s="5"/>
      <c r="Q113" s="5"/>
    </row>
    <row r="114" spans="1:17" ht="77.5" x14ac:dyDescent="0.35">
      <c r="A114" s="4" t="s">
        <v>49</v>
      </c>
      <c r="B114" s="4" t="s">
        <v>553</v>
      </c>
      <c r="C114" s="5" t="s">
        <v>572</v>
      </c>
      <c r="D114" s="4" t="s">
        <v>573</v>
      </c>
      <c r="E114" s="5" t="s">
        <v>108</v>
      </c>
      <c r="F114" s="4" t="s">
        <v>574</v>
      </c>
      <c r="G114" s="4" t="s">
        <v>575</v>
      </c>
      <c r="H114" s="4" t="s">
        <v>576</v>
      </c>
      <c r="I114" s="4" t="s">
        <v>577</v>
      </c>
      <c r="J114" s="4"/>
      <c r="K114" s="5" t="s">
        <v>57</v>
      </c>
      <c r="L114" s="5" t="s">
        <v>57</v>
      </c>
      <c r="M114" s="5" t="s">
        <v>57</v>
      </c>
      <c r="N114" s="4"/>
      <c r="O114" s="5"/>
      <c r="P114" s="5"/>
      <c r="Q114" s="5"/>
    </row>
    <row r="115" spans="1:17" ht="31" x14ac:dyDescent="0.35">
      <c r="A115" s="4" t="s">
        <v>49</v>
      </c>
      <c r="B115" s="4" t="s">
        <v>553</v>
      </c>
      <c r="C115" s="5" t="s">
        <v>578</v>
      </c>
      <c r="D115" s="4" t="s">
        <v>579</v>
      </c>
      <c r="E115" s="5" t="s">
        <v>52</v>
      </c>
      <c r="F115" s="4" t="s">
        <v>451</v>
      </c>
      <c r="G115" s="4" t="s">
        <v>580</v>
      </c>
      <c r="H115" s="4" t="s">
        <v>125</v>
      </c>
      <c r="I115" s="4" t="s">
        <v>581</v>
      </c>
      <c r="J115" s="4"/>
      <c r="K115" s="5" t="s">
        <v>57</v>
      </c>
      <c r="L115" s="5" t="s">
        <v>57</v>
      </c>
      <c r="M115" s="5" t="s">
        <v>57</v>
      </c>
      <c r="N115" s="4"/>
      <c r="O115" s="5"/>
      <c r="P115" s="5"/>
      <c r="Q115" s="5"/>
    </row>
    <row r="116" spans="1:17" ht="31" x14ac:dyDescent="0.35">
      <c r="A116" s="4" t="s">
        <v>49</v>
      </c>
      <c r="B116" s="4" t="s">
        <v>553</v>
      </c>
      <c r="C116" s="5" t="s">
        <v>582</v>
      </c>
      <c r="D116" s="4" t="s">
        <v>583</v>
      </c>
      <c r="E116" s="5" t="s">
        <v>52</v>
      </c>
      <c r="F116" s="4" t="s">
        <v>584</v>
      </c>
      <c r="G116" s="4" t="s">
        <v>585</v>
      </c>
      <c r="H116" s="4" t="s">
        <v>233</v>
      </c>
      <c r="I116" s="4" t="s">
        <v>586</v>
      </c>
      <c r="J116" s="4"/>
      <c r="K116" s="5" t="s">
        <v>57</v>
      </c>
      <c r="L116" s="5" t="s">
        <v>57</v>
      </c>
      <c r="M116" s="5" t="s">
        <v>57</v>
      </c>
      <c r="N116" s="4"/>
      <c r="O116" s="5"/>
      <c r="P116" s="5"/>
      <c r="Q116" s="5"/>
    </row>
    <row r="117" spans="1:17" ht="93" x14ac:dyDescent="0.35">
      <c r="A117" s="4" t="s">
        <v>49</v>
      </c>
      <c r="B117" s="4" t="s">
        <v>553</v>
      </c>
      <c r="C117" s="5" t="s">
        <v>587</v>
      </c>
      <c r="D117" s="4" t="s">
        <v>588</v>
      </c>
      <c r="E117" s="5" t="s">
        <v>52</v>
      </c>
      <c r="F117" s="4" t="s">
        <v>589</v>
      </c>
      <c r="G117" s="4" t="s">
        <v>590</v>
      </c>
      <c r="H117" s="4" t="s">
        <v>533</v>
      </c>
      <c r="I117" s="4" t="s">
        <v>591</v>
      </c>
      <c r="J117" s="4"/>
      <c r="K117" s="5" t="s">
        <v>57</v>
      </c>
      <c r="L117" s="5" t="s">
        <v>57</v>
      </c>
      <c r="M117" s="5" t="s">
        <v>57</v>
      </c>
      <c r="N117" s="4"/>
      <c r="O117" s="5"/>
      <c r="P117" s="5"/>
      <c r="Q117" s="5"/>
    </row>
    <row r="118" spans="1:17" ht="77.5" x14ac:dyDescent="0.35">
      <c r="A118" s="4" t="s">
        <v>49</v>
      </c>
      <c r="B118" s="4" t="s">
        <v>553</v>
      </c>
      <c r="C118" s="5" t="s">
        <v>592</v>
      </c>
      <c r="D118" s="4" t="s">
        <v>593</v>
      </c>
      <c r="E118" s="5" t="s">
        <v>108</v>
      </c>
      <c r="F118" s="4" t="s">
        <v>594</v>
      </c>
      <c r="G118" s="4" t="s">
        <v>595</v>
      </c>
      <c r="H118" s="4" t="s">
        <v>596</v>
      </c>
      <c r="I118" s="4" t="s">
        <v>597</v>
      </c>
      <c r="J118" s="4"/>
      <c r="K118" s="5" t="s">
        <v>57</v>
      </c>
      <c r="L118" s="5" t="s">
        <v>57</v>
      </c>
      <c r="M118" s="5" t="s">
        <v>57</v>
      </c>
      <c r="N118" s="4"/>
      <c r="O118" s="5"/>
      <c r="P118" s="5"/>
      <c r="Q118" s="5"/>
    </row>
    <row r="119" spans="1:17" ht="62" x14ac:dyDescent="0.35">
      <c r="A119" s="4" t="s">
        <v>49</v>
      </c>
      <c r="B119" s="4" t="s">
        <v>553</v>
      </c>
      <c r="C119" s="5" t="s">
        <v>598</v>
      </c>
      <c r="D119" s="4" t="s">
        <v>599</v>
      </c>
      <c r="E119" s="5" t="s">
        <v>108</v>
      </c>
      <c r="F119" s="4" t="s">
        <v>600</v>
      </c>
      <c r="G119" s="4" t="s">
        <v>601</v>
      </c>
      <c r="H119" s="4" t="s">
        <v>125</v>
      </c>
      <c r="I119" s="4" t="s">
        <v>602</v>
      </c>
      <c r="J119" s="4"/>
      <c r="K119" s="5" t="s">
        <v>57</v>
      </c>
      <c r="L119" s="5" t="s">
        <v>57</v>
      </c>
      <c r="M119" s="5" t="s">
        <v>57</v>
      </c>
      <c r="N119" s="4"/>
      <c r="O119" s="5"/>
      <c r="P119" s="5"/>
      <c r="Q119" s="5"/>
    </row>
    <row r="120" spans="1:17" ht="62" x14ac:dyDescent="0.35">
      <c r="A120" s="4" t="s">
        <v>49</v>
      </c>
      <c r="B120" s="4" t="s">
        <v>553</v>
      </c>
      <c r="C120" s="5" t="s">
        <v>603</v>
      </c>
      <c r="D120" s="4" t="s">
        <v>604</v>
      </c>
      <c r="E120" s="5" t="s">
        <v>181</v>
      </c>
      <c r="F120" s="4" t="s">
        <v>605</v>
      </c>
      <c r="G120" s="4" t="s">
        <v>606</v>
      </c>
      <c r="H120" s="4" t="s">
        <v>607</v>
      </c>
      <c r="I120" s="4" t="s">
        <v>608</v>
      </c>
      <c r="J120" s="4"/>
      <c r="K120" s="5" t="s">
        <v>57</v>
      </c>
      <c r="L120" s="5" t="s">
        <v>57</v>
      </c>
      <c r="M120" s="5" t="s">
        <v>57</v>
      </c>
      <c r="N120" s="4"/>
      <c r="O120" s="5"/>
      <c r="P120" s="5"/>
      <c r="Q120" s="5"/>
    </row>
    <row r="121" spans="1:17" ht="15.5" x14ac:dyDescent="0.35">
      <c r="A121" s="3"/>
      <c r="B121" s="3"/>
      <c r="C121" s="6" t="s">
        <v>609</v>
      </c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8"/>
    </row>
    <row r="122" spans="1:17" ht="93" x14ac:dyDescent="0.35">
      <c r="A122" s="4" t="s">
        <v>49</v>
      </c>
      <c r="B122" s="4" t="s">
        <v>610</v>
      </c>
      <c r="C122" s="5" t="s">
        <v>611</v>
      </c>
      <c r="D122" s="4" t="s">
        <v>612</v>
      </c>
      <c r="E122" s="5" t="s">
        <v>52</v>
      </c>
      <c r="F122" s="4" t="s">
        <v>613</v>
      </c>
      <c r="G122" s="4" t="s">
        <v>614</v>
      </c>
      <c r="H122" s="4" t="s">
        <v>615</v>
      </c>
      <c r="I122" s="4" t="s">
        <v>616</v>
      </c>
      <c r="J122" s="4"/>
      <c r="K122" s="5" t="s">
        <v>57</v>
      </c>
      <c r="L122" s="5" t="s">
        <v>57</v>
      </c>
      <c r="M122" s="5" t="s">
        <v>57</v>
      </c>
      <c r="N122" s="4"/>
      <c r="O122" s="5"/>
      <c r="P122" s="5"/>
      <c r="Q122" s="5"/>
    </row>
    <row r="123" spans="1:17" ht="77.5" x14ac:dyDescent="0.35">
      <c r="A123" s="4" t="s">
        <v>49</v>
      </c>
      <c r="B123" s="4" t="s">
        <v>610</v>
      </c>
      <c r="C123" s="5" t="s">
        <v>617</v>
      </c>
      <c r="D123" s="4" t="s">
        <v>618</v>
      </c>
      <c r="E123" s="5" t="s">
        <v>52</v>
      </c>
      <c r="F123" s="4" t="s">
        <v>619</v>
      </c>
      <c r="G123" s="4" t="s">
        <v>620</v>
      </c>
      <c r="H123" s="4" t="s">
        <v>125</v>
      </c>
      <c r="I123" s="4" t="s">
        <v>621</v>
      </c>
      <c r="J123" s="4"/>
      <c r="K123" s="5" t="s">
        <v>57</v>
      </c>
      <c r="L123" s="5" t="s">
        <v>57</v>
      </c>
      <c r="M123" s="5" t="s">
        <v>57</v>
      </c>
      <c r="N123" s="4"/>
      <c r="O123" s="5"/>
      <c r="P123" s="5"/>
      <c r="Q123" s="5"/>
    </row>
    <row r="124" spans="1:17" ht="62" x14ac:dyDescent="0.35">
      <c r="A124" s="4" t="s">
        <v>49</v>
      </c>
      <c r="B124" s="4" t="s">
        <v>610</v>
      </c>
      <c r="C124" s="5" t="s">
        <v>622</v>
      </c>
      <c r="D124" s="4" t="s">
        <v>623</v>
      </c>
      <c r="E124" s="5" t="s">
        <v>52</v>
      </c>
      <c r="F124" s="4" t="s">
        <v>624</v>
      </c>
      <c r="G124" s="4" t="s">
        <v>625</v>
      </c>
      <c r="H124" s="4" t="s">
        <v>233</v>
      </c>
      <c r="I124" s="4" t="s">
        <v>626</v>
      </c>
      <c r="J124" s="4"/>
      <c r="K124" s="5" t="s">
        <v>57</v>
      </c>
      <c r="L124" s="5" t="s">
        <v>57</v>
      </c>
      <c r="M124" s="5" t="s">
        <v>57</v>
      </c>
      <c r="N124" s="4"/>
      <c r="O124" s="5"/>
      <c r="P124" s="5"/>
      <c r="Q124" s="5"/>
    </row>
    <row r="125" spans="1:17" ht="77.5" x14ac:dyDescent="0.35">
      <c r="A125" s="4" t="s">
        <v>49</v>
      </c>
      <c r="B125" s="4" t="s">
        <v>610</v>
      </c>
      <c r="C125" s="5" t="s">
        <v>627</v>
      </c>
      <c r="D125" s="4" t="s">
        <v>628</v>
      </c>
      <c r="E125" s="5" t="s">
        <v>108</v>
      </c>
      <c r="F125" s="4" t="s">
        <v>332</v>
      </c>
      <c r="G125" s="4" t="s">
        <v>629</v>
      </c>
      <c r="H125" s="4" t="s">
        <v>298</v>
      </c>
      <c r="I125" s="4" t="s">
        <v>630</v>
      </c>
      <c r="J125" s="4"/>
      <c r="K125" s="5" t="s">
        <v>57</v>
      </c>
      <c r="L125" s="5" t="s">
        <v>57</v>
      </c>
      <c r="M125" s="5" t="s">
        <v>57</v>
      </c>
      <c r="N125" s="4"/>
      <c r="O125" s="5"/>
      <c r="P125" s="5"/>
      <c r="Q125" s="5"/>
    </row>
    <row r="126" spans="1:17" ht="46.5" x14ac:dyDescent="0.35">
      <c r="A126" s="4" t="s">
        <v>49</v>
      </c>
      <c r="B126" s="4" t="s">
        <v>610</v>
      </c>
      <c r="C126" s="5" t="s">
        <v>631</v>
      </c>
      <c r="D126" s="4" t="s">
        <v>632</v>
      </c>
      <c r="E126" s="5" t="s">
        <v>108</v>
      </c>
      <c r="F126" s="4" t="s">
        <v>633</v>
      </c>
      <c r="G126" s="4" t="s">
        <v>634</v>
      </c>
      <c r="H126" s="4" t="s">
        <v>635</v>
      </c>
      <c r="I126" s="4" t="s">
        <v>636</v>
      </c>
      <c r="J126" s="4"/>
      <c r="K126" s="5" t="s">
        <v>57</v>
      </c>
      <c r="L126" s="5" t="s">
        <v>57</v>
      </c>
      <c r="M126" s="5" t="s">
        <v>57</v>
      </c>
      <c r="N126" s="4"/>
      <c r="O126" s="5"/>
      <c r="P126" s="5"/>
      <c r="Q126" s="5"/>
    </row>
    <row r="127" spans="1:17" ht="46.5" x14ac:dyDescent="0.35">
      <c r="A127" s="4" t="s">
        <v>49</v>
      </c>
      <c r="B127" s="4" t="s">
        <v>610</v>
      </c>
      <c r="C127" s="5" t="s">
        <v>637</v>
      </c>
      <c r="D127" s="4" t="s">
        <v>638</v>
      </c>
      <c r="E127" s="5" t="s">
        <v>108</v>
      </c>
      <c r="F127" s="4" t="s">
        <v>639</v>
      </c>
      <c r="G127" s="4" t="s">
        <v>640</v>
      </c>
      <c r="H127" s="4" t="s">
        <v>171</v>
      </c>
      <c r="I127" s="4" t="s">
        <v>641</v>
      </c>
      <c r="J127" s="4"/>
      <c r="K127" s="5" t="s">
        <v>57</v>
      </c>
      <c r="L127" s="5" t="s">
        <v>57</v>
      </c>
      <c r="M127" s="5" t="s">
        <v>57</v>
      </c>
      <c r="N127" s="4"/>
      <c r="O127" s="5"/>
      <c r="P127" s="5"/>
      <c r="Q127" s="5"/>
    </row>
    <row r="128" spans="1:17" ht="46.5" x14ac:dyDescent="0.35">
      <c r="A128" s="4" t="s">
        <v>49</v>
      </c>
      <c r="B128" s="4" t="s">
        <v>610</v>
      </c>
      <c r="C128" s="5" t="s">
        <v>642</v>
      </c>
      <c r="D128" s="4" t="s">
        <v>643</v>
      </c>
      <c r="E128" s="5" t="s">
        <v>108</v>
      </c>
      <c r="F128" s="4" t="s">
        <v>644</v>
      </c>
      <c r="G128" s="4" t="s">
        <v>645</v>
      </c>
      <c r="H128" s="4" t="s">
        <v>646</v>
      </c>
      <c r="I128" s="4" t="s">
        <v>647</v>
      </c>
      <c r="J128" s="4"/>
      <c r="K128" s="5" t="s">
        <v>57</v>
      </c>
      <c r="L128" s="5" t="s">
        <v>57</v>
      </c>
      <c r="M128" s="5" t="s">
        <v>57</v>
      </c>
      <c r="N128" s="4"/>
      <c r="O128" s="5"/>
      <c r="P128" s="5"/>
      <c r="Q128" s="5"/>
    </row>
    <row r="129" spans="1:17" ht="46.5" x14ac:dyDescent="0.35">
      <c r="A129" s="4" t="s">
        <v>49</v>
      </c>
      <c r="B129" s="4" t="s">
        <v>610</v>
      </c>
      <c r="C129" s="5" t="s">
        <v>648</v>
      </c>
      <c r="D129" s="4" t="s">
        <v>649</v>
      </c>
      <c r="E129" s="5" t="s">
        <v>181</v>
      </c>
      <c r="F129" s="4" t="s">
        <v>650</v>
      </c>
      <c r="G129" s="4" t="s">
        <v>651</v>
      </c>
      <c r="H129" s="4" t="s">
        <v>177</v>
      </c>
      <c r="I129" s="4" t="s">
        <v>652</v>
      </c>
      <c r="J129" s="4"/>
      <c r="K129" s="5" t="s">
        <v>57</v>
      </c>
      <c r="L129" s="5" t="s">
        <v>57</v>
      </c>
      <c r="M129" s="5" t="s">
        <v>57</v>
      </c>
      <c r="N129" s="4"/>
      <c r="O129" s="5"/>
      <c r="P129" s="5"/>
      <c r="Q129" s="5"/>
    </row>
    <row r="130" spans="1:17" ht="46.5" x14ac:dyDescent="0.35">
      <c r="A130" s="4" t="s">
        <v>49</v>
      </c>
      <c r="B130" s="4" t="s">
        <v>610</v>
      </c>
      <c r="C130" s="5" t="s">
        <v>653</v>
      </c>
      <c r="D130" s="4" t="s">
        <v>654</v>
      </c>
      <c r="E130" s="5" t="s">
        <v>108</v>
      </c>
      <c r="F130" s="4" t="s">
        <v>548</v>
      </c>
      <c r="G130" s="4" t="s">
        <v>655</v>
      </c>
      <c r="H130" s="4" t="s">
        <v>550</v>
      </c>
      <c r="I130" s="4" t="s">
        <v>656</v>
      </c>
      <c r="J130" s="4"/>
      <c r="K130" s="5" t="s">
        <v>57</v>
      </c>
      <c r="L130" s="5" t="s">
        <v>57</v>
      </c>
      <c r="M130" s="5" t="s">
        <v>57</v>
      </c>
      <c r="N130" s="4"/>
      <c r="O130" s="5"/>
      <c r="P130" s="5"/>
      <c r="Q130" s="5"/>
    </row>
    <row r="131" spans="1:17" ht="77.5" x14ac:dyDescent="0.35">
      <c r="A131" s="4" t="s">
        <v>49</v>
      </c>
      <c r="B131" s="4" t="s">
        <v>610</v>
      </c>
      <c r="C131" s="5" t="s">
        <v>657</v>
      </c>
      <c r="D131" s="4" t="s">
        <v>658</v>
      </c>
      <c r="E131" s="5" t="s">
        <v>108</v>
      </c>
      <c r="F131" s="4" t="s">
        <v>659</v>
      </c>
      <c r="G131" s="4" t="s">
        <v>660</v>
      </c>
      <c r="H131" s="4" t="s">
        <v>125</v>
      </c>
      <c r="I131" s="4" t="s">
        <v>661</v>
      </c>
      <c r="J131" s="4"/>
      <c r="K131" s="5" t="s">
        <v>57</v>
      </c>
      <c r="L131" s="5" t="s">
        <v>57</v>
      </c>
      <c r="M131" s="5" t="s">
        <v>57</v>
      </c>
      <c r="N131" s="4"/>
      <c r="O131" s="5"/>
      <c r="P131" s="5"/>
      <c r="Q131" s="5"/>
    </row>
    <row r="132" spans="1:17" ht="15.5" x14ac:dyDescent="0.35">
      <c r="A132" s="3"/>
      <c r="B132" s="3"/>
      <c r="C132" s="6" t="s">
        <v>662</v>
      </c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8"/>
    </row>
    <row r="133" spans="1:17" ht="77.5" x14ac:dyDescent="0.35">
      <c r="A133" s="4" t="s">
        <v>49</v>
      </c>
      <c r="B133" s="4" t="s">
        <v>663</v>
      </c>
      <c r="C133" s="5" t="s">
        <v>664</v>
      </c>
      <c r="D133" s="4" t="s">
        <v>665</v>
      </c>
      <c r="E133" s="5" t="s">
        <v>52</v>
      </c>
      <c r="F133" s="4" t="s">
        <v>666</v>
      </c>
      <c r="G133" s="4" t="s">
        <v>667</v>
      </c>
      <c r="H133" s="4" t="s">
        <v>668</v>
      </c>
      <c r="I133" s="4" t="s">
        <v>669</v>
      </c>
      <c r="J133" s="4"/>
      <c r="K133" s="5" t="s">
        <v>57</v>
      </c>
      <c r="L133" s="5" t="s">
        <v>57</v>
      </c>
      <c r="M133" s="5" t="s">
        <v>57</v>
      </c>
      <c r="N133" s="4"/>
      <c r="O133" s="5"/>
      <c r="P133" s="5"/>
      <c r="Q133" s="5"/>
    </row>
    <row r="134" spans="1:17" ht="77.5" x14ac:dyDescent="0.35">
      <c r="A134" s="4" t="s">
        <v>49</v>
      </c>
      <c r="B134" s="4" t="s">
        <v>663</v>
      </c>
      <c r="C134" s="5" t="s">
        <v>670</v>
      </c>
      <c r="D134" s="4" t="s">
        <v>671</v>
      </c>
      <c r="E134" s="5" t="s">
        <v>52</v>
      </c>
      <c r="F134" s="4" t="s">
        <v>672</v>
      </c>
      <c r="G134" s="4" t="s">
        <v>673</v>
      </c>
      <c r="H134" s="4" t="s">
        <v>674</v>
      </c>
      <c r="I134" s="4" t="s">
        <v>675</v>
      </c>
      <c r="J134" s="4"/>
      <c r="K134" s="5" t="s">
        <v>57</v>
      </c>
      <c r="L134" s="5" t="s">
        <v>57</v>
      </c>
      <c r="M134" s="5" t="s">
        <v>57</v>
      </c>
      <c r="N134" s="4"/>
      <c r="O134" s="5"/>
      <c r="P134" s="5"/>
      <c r="Q134" s="5"/>
    </row>
    <row r="135" spans="1:17" ht="77.5" x14ac:dyDescent="0.35">
      <c r="A135" s="4" t="s">
        <v>49</v>
      </c>
      <c r="B135" s="4" t="s">
        <v>663</v>
      </c>
      <c r="C135" s="5" t="s">
        <v>676</v>
      </c>
      <c r="D135" s="4" t="s">
        <v>677</v>
      </c>
      <c r="E135" s="5" t="s">
        <v>52</v>
      </c>
      <c r="F135" s="4" t="s">
        <v>672</v>
      </c>
      <c r="G135" s="4" t="s">
        <v>678</v>
      </c>
      <c r="H135" s="4" t="s">
        <v>679</v>
      </c>
      <c r="I135" s="4" t="s">
        <v>680</v>
      </c>
      <c r="J135" s="4"/>
      <c r="K135" s="5" t="s">
        <v>57</v>
      </c>
      <c r="L135" s="5" t="s">
        <v>57</v>
      </c>
      <c r="M135" s="5" t="s">
        <v>57</v>
      </c>
      <c r="N135" s="4"/>
      <c r="O135" s="5"/>
      <c r="P135" s="5"/>
      <c r="Q135" s="5"/>
    </row>
    <row r="136" spans="1:17" ht="77.5" x14ac:dyDescent="0.35">
      <c r="A136" s="4" t="s">
        <v>49</v>
      </c>
      <c r="B136" s="4" t="s">
        <v>663</v>
      </c>
      <c r="C136" s="5" t="s">
        <v>681</v>
      </c>
      <c r="D136" s="4" t="s">
        <v>682</v>
      </c>
      <c r="E136" s="5" t="s">
        <v>108</v>
      </c>
      <c r="F136" s="4" t="s">
        <v>672</v>
      </c>
      <c r="G136" s="4" t="s">
        <v>683</v>
      </c>
      <c r="H136" s="4" t="s">
        <v>684</v>
      </c>
      <c r="I136" s="4" t="s">
        <v>685</v>
      </c>
      <c r="J136" s="4"/>
      <c r="K136" s="5" t="s">
        <v>57</v>
      </c>
      <c r="L136" s="5" t="s">
        <v>57</v>
      </c>
      <c r="M136" s="5" t="s">
        <v>57</v>
      </c>
      <c r="N136" s="4"/>
      <c r="O136" s="5"/>
      <c r="P136" s="5"/>
      <c r="Q136" s="5"/>
    </row>
    <row r="137" spans="1:17" ht="77.5" x14ac:dyDescent="0.35">
      <c r="A137" s="4" t="s">
        <v>49</v>
      </c>
      <c r="B137" s="4" t="s">
        <v>663</v>
      </c>
      <c r="C137" s="5" t="s">
        <v>686</v>
      </c>
      <c r="D137" s="4" t="s">
        <v>687</v>
      </c>
      <c r="E137" s="5" t="s">
        <v>108</v>
      </c>
      <c r="F137" s="4" t="s">
        <v>688</v>
      </c>
      <c r="G137" s="4" t="s">
        <v>689</v>
      </c>
      <c r="H137" s="4" t="s">
        <v>690</v>
      </c>
      <c r="I137" s="4" t="s">
        <v>691</v>
      </c>
      <c r="J137" s="4"/>
      <c r="K137" s="5" t="s">
        <v>57</v>
      </c>
      <c r="L137" s="5" t="s">
        <v>57</v>
      </c>
      <c r="M137" s="5" t="s">
        <v>57</v>
      </c>
      <c r="N137" s="4"/>
      <c r="O137" s="5"/>
      <c r="P137" s="5"/>
      <c r="Q137" s="5"/>
    </row>
    <row r="138" spans="1:17" ht="93" x14ac:dyDescent="0.35">
      <c r="A138" s="4" t="s">
        <v>49</v>
      </c>
      <c r="B138" s="4" t="s">
        <v>663</v>
      </c>
      <c r="C138" s="5" t="s">
        <v>692</v>
      </c>
      <c r="D138" s="4" t="s">
        <v>693</v>
      </c>
      <c r="E138" s="5" t="s">
        <v>52</v>
      </c>
      <c r="F138" s="4" t="s">
        <v>694</v>
      </c>
      <c r="G138" s="4" t="s">
        <v>695</v>
      </c>
      <c r="H138" s="4" t="s">
        <v>696</v>
      </c>
      <c r="I138" s="4" t="s">
        <v>697</v>
      </c>
      <c r="J138" s="4"/>
      <c r="K138" s="5" t="s">
        <v>57</v>
      </c>
      <c r="L138" s="5" t="s">
        <v>57</v>
      </c>
      <c r="M138" s="5" t="s">
        <v>57</v>
      </c>
      <c r="N138" s="4"/>
      <c r="O138" s="5"/>
      <c r="P138" s="5"/>
      <c r="Q138" s="5"/>
    </row>
    <row r="139" spans="1:17" ht="62" x14ac:dyDescent="0.35">
      <c r="A139" s="4" t="s">
        <v>49</v>
      </c>
      <c r="B139" s="4" t="s">
        <v>663</v>
      </c>
      <c r="C139" s="5" t="s">
        <v>698</v>
      </c>
      <c r="D139" s="4" t="s">
        <v>699</v>
      </c>
      <c r="E139" s="5" t="s">
        <v>52</v>
      </c>
      <c r="F139" s="4" t="s">
        <v>700</v>
      </c>
      <c r="G139" s="4" t="s">
        <v>701</v>
      </c>
      <c r="H139" s="4" t="s">
        <v>702</v>
      </c>
      <c r="I139" s="4" t="s">
        <v>703</v>
      </c>
      <c r="J139" s="4"/>
      <c r="K139" s="5" t="s">
        <v>57</v>
      </c>
      <c r="L139" s="5" t="s">
        <v>57</v>
      </c>
      <c r="M139" s="5" t="s">
        <v>57</v>
      </c>
      <c r="N139" s="4"/>
      <c r="O139" s="5"/>
      <c r="P139" s="5"/>
      <c r="Q139" s="5"/>
    </row>
    <row r="140" spans="1:17" ht="46.5" x14ac:dyDescent="0.35">
      <c r="A140" s="4" t="s">
        <v>49</v>
      </c>
      <c r="B140" s="4" t="s">
        <v>663</v>
      </c>
      <c r="C140" s="5" t="s">
        <v>704</v>
      </c>
      <c r="D140" s="4" t="s">
        <v>705</v>
      </c>
      <c r="E140" s="5" t="s">
        <v>108</v>
      </c>
      <c r="F140" s="4" t="s">
        <v>467</v>
      </c>
      <c r="G140" s="4" t="s">
        <v>706</v>
      </c>
      <c r="H140" s="4" t="s">
        <v>707</v>
      </c>
      <c r="I140" s="4" t="s">
        <v>708</v>
      </c>
      <c r="J140" s="4"/>
      <c r="K140" s="5" t="s">
        <v>57</v>
      </c>
      <c r="L140" s="5" t="s">
        <v>57</v>
      </c>
      <c r="M140" s="5" t="s">
        <v>57</v>
      </c>
      <c r="N140" s="4"/>
      <c r="O140" s="5"/>
      <c r="P140" s="5"/>
      <c r="Q140" s="5"/>
    </row>
    <row r="141" spans="1:17" ht="77.5" x14ac:dyDescent="0.35">
      <c r="A141" s="4" t="s">
        <v>49</v>
      </c>
      <c r="B141" s="4" t="s">
        <v>663</v>
      </c>
      <c r="C141" s="5" t="s">
        <v>709</v>
      </c>
      <c r="D141" s="4" t="s">
        <v>710</v>
      </c>
      <c r="E141" s="5" t="s">
        <v>52</v>
      </c>
      <c r="F141" s="4" t="s">
        <v>672</v>
      </c>
      <c r="G141" s="4" t="s">
        <v>711</v>
      </c>
      <c r="H141" s="4" t="s">
        <v>712</v>
      </c>
      <c r="I141" s="4" t="s">
        <v>713</v>
      </c>
      <c r="J141" s="4"/>
      <c r="K141" s="5" t="s">
        <v>57</v>
      </c>
      <c r="L141" s="5" t="s">
        <v>57</v>
      </c>
      <c r="M141" s="5" t="s">
        <v>57</v>
      </c>
      <c r="N141" s="4"/>
      <c r="O141" s="5"/>
      <c r="P141" s="5"/>
      <c r="Q141" s="5"/>
    </row>
    <row r="142" spans="1:17" ht="46.5" x14ac:dyDescent="0.35">
      <c r="A142" s="4" t="s">
        <v>49</v>
      </c>
      <c r="B142" s="4" t="s">
        <v>663</v>
      </c>
      <c r="C142" s="5" t="s">
        <v>714</v>
      </c>
      <c r="D142" s="4" t="s">
        <v>715</v>
      </c>
      <c r="E142" s="5" t="s">
        <v>52</v>
      </c>
      <c r="F142" s="4" t="s">
        <v>672</v>
      </c>
      <c r="G142" s="4" t="s">
        <v>716</v>
      </c>
      <c r="H142" s="4" t="s">
        <v>717</v>
      </c>
      <c r="I142" s="4" t="s">
        <v>718</v>
      </c>
      <c r="J142" s="4"/>
      <c r="K142" s="5" t="s">
        <v>57</v>
      </c>
      <c r="L142" s="5" t="s">
        <v>57</v>
      </c>
      <c r="M142" s="5" t="s">
        <v>57</v>
      </c>
      <c r="N142" s="4"/>
      <c r="O142" s="5"/>
      <c r="P142" s="5"/>
      <c r="Q142" s="5"/>
    </row>
    <row r="143" spans="1:17" ht="46.5" x14ac:dyDescent="0.35">
      <c r="A143" s="4" t="s">
        <v>49</v>
      </c>
      <c r="B143" s="4" t="s">
        <v>663</v>
      </c>
      <c r="C143" s="5" t="s">
        <v>719</v>
      </c>
      <c r="D143" s="4" t="s">
        <v>720</v>
      </c>
      <c r="E143" s="5" t="s">
        <v>52</v>
      </c>
      <c r="F143" s="4" t="s">
        <v>672</v>
      </c>
      <c r="G143" s="4" t="s">
        <v>721</v>
      </c>
      <c r="H143" s="4" t="s">
        <v>722</v>
      </c>
      <c r="I143" s="4" t="s">
        <v>723</v>
      </c>
      <c r="J143" s="4"/>
      <c r="K143" s="5" t="s">
        <v>57</v>
      </c>
      <c r="L143" s="5" t="s">
        <v>57</v>
      </c>
      <c r="M143" s="5" t="s">
        <v>57</v>
      </c>
      <c r="N143" s="4"/>
      <c r="O143" s="5"/>
      <c r="P143" s="5"/>
      <c r="Q143" s="5"/>
    </row>
    <row r="144" spans="1:17" ht="62" x14ac:dyDescent="0.35">
      <c r="A144" s="4" t="s">
        <v>49</v>
      </c>
      <c r="B144" s="4" t="s">
        <v>663</v>
      </c>
      <c r="C144" s="5" t="s">
        <v>724</v>
      </c>
      <c r="D144" s="4" t="s">
        <v>725</v>
      </c>
      <c r="E144" s="5" t="s">
        <v>108</v>
      </c>
      <c r="F144" s="4" t="s">
        <v>672</v>
      </c>
      <c r="G144" s="4" t="s">
        <v>726</v>
      </c>
      <c r="H144" s="4" t="s">
        <v>727</v>
      </c>
      <c r="I144" s="4" t="s">
        <v>728</v>
      </c>
      <c r="J144" s="4"/>
      <c r="K144" s="5" t="s">
        <v>57</v>
      </c>
      <c r="L144" s="5" t="s">
        <v>57</v>
      </c>
      <c r="M144" s="5" t="s">
        <v>57</v>
      </c>
      <c r="N144" s="4"/>
      <c r="O144" s="5"/>
      <c r="P144" s="5"/>
      <c r="Q144" s="5"/>
    </row>
    <row r="145" spans="1:17" ht="77.5" x14ac:dyDescent="0.35">
      <c r="A145" s="4" t="s">
        <v>49</v>
      </c>
      <c r="B145" s="4" t="s">
        <v>663</v>
      </c>
      <c r="C145" s="5" t="s">
        <v>729</v>
      </c>
      <c r="D145" s="4" t="s">
        <v>730</v>
      </c>
      <c r="E145" s="5" t="s">
        <v>52</v>
      </c>
      <c r="F145" s="4" t="s">
        <v>672</v>
      </c>
      <c r="G145" s="4" t="s">
        <v>731</v>
      </c>
      <c r="H145" s="4" t="s">
        <v>732</v>
      </c>
      <c r="I145" s="4" t="s">
        <v>733</v>
      </c>
      <c r="J145" s="4"/>
      <c r="K145" s="5" t="s">
        <v>57</v>
      </c>
      <c r="L145" s="5" t="s">
        <v>57</v>
      </c>
      <c r="M145" s="5" t="s">
        <v>57</v>
      </c>
      <c r="N145" s="4"/>
      <c r="O145" s="5"/>
      <c r="P145" s="5"/>
      <c r="Q145" s="5"/>
    </row>
    <row r="146" spans="1:17" ht="93" x14ac:dyDescent="0.35">
      <c r="A146" s="4" t="s">
        <v>49</v>
      </c>
      <c r="B146" s="4" t="s">
        <v>663</v>
      </c>
      <c r="C146" s="5" t="s">
        <v>734</v>
      </c>
      <c r="D146" s="4" t="s">
        <v>735</v>
      </c>
      <c r="E146" s="5" t="s">
        <v>52</v>
      </c>
      <c r="F146" s="4" t="s">
        <v>672</v>
      </c>
      <c r="G146" s="4" t="s">
        <v>736</v>
      </c>
      <c r="H146" s="4" t="s">
        <v>737</v>
      </c>
      <c r="I146" s="4" t="s">
        <v>738</v>
      </c>
      <c r="J146" s="4"/>
      <c r="K146" s="5" t="s">
        <v>57</v>
      </c>
      <c r="L146" s="5" t="s">
        <v>57</v>
      </c>
      <c r="M146" s="5" t="s">
        <v>57</v>
      </c>
      <c r="N146" s="4"/>
      <c r="O146" s="5"/>
      <c r="P146" s="5"/>
      <c r="Q146" s="5"/>
    </row>
    <row r="147" spans="1:17" ht="62" x14ac:dyDescent="0.35">
      <c r="A147" s="4" t="s">
        <v>49</v>
      </c>
      <c r="B147" s="4" t="s">
        <v>663</v>
      </c>
      <c r="C147" s="5" t="s">
        <v>739</v>
      </c>
      <c r="D147" s="4" t="s">
        <v>740</v>
      </c>
      <c r="E147" s="5" t="s">
        <v>52</v>
      </c>
      <c r="F147" s="4" t="s">
        <v>672</v>
      </c>
      <c r="G147" s="4" t="s">
        <v>741</v>
      </c>
      <c r="H147" s="4" t="s">
        <v>742</v>
      </c>
      <c r="I147" s="4" t="s">
        <v>743</v>
      </c>
      <c r="J147" s="4"/>
      <c r="K147" s="5" t="s">
        <v>57</v>
      </c>
      <c r="L147" s="5" t="s">
        <v>57</v>
      </c>
      <c r="M147" s="5" t="s">
        <v>57</v>
      </c>
      <c r="N147" s="4"/>
      <c r="O147" s="5"/>
      <c r="P147" s="5"/>
      <c r="Q147" s="5"/>
    </row>
    <row r="148" spans="1:17" ht="46.5" x14ac:dyDescent="0.35">
      <c r="A148" s="4" t="s">
        <v>49</v>
      </c>
      <c r="B148" s="4" t="s">
        <v>663</v>
      </c>
      <c r="C148" s="5" t="s">
        <v>744</v>
      </c>
      <c r="D148" s="4" t="s">
        <v>745</v>
      </c>
      <c r="E148" s="5" t="s">
        <v>52</v>
      </c>
      <c r="F148" s="4" t="s">
        <v>672</v>
      </c>
      <c r="G148" s="4" t="s">
        <v>746</v>
      </c>
      <c r="H148" s="4" t="s">
        <v>747</v>
      </c>
      <c r="I148" s="4" t="s">
        <v>748</v>
      </c>
      <c r="J148" s="4"/>
      <c r="K148" s="5" t="s">
        <v>57</v>
      </c>
      <c r="L148" s="5" t="s">
        <v>57</v>
      </c>
      <c r="M148" s="5" t="s">
        <v>57</v>
      </c>
      <c r="N148" s="4"/>
      <c r="O148" s="5"/>
      <c r="P148" s="5"/>
      <c r="Q148" s="5"/>
    </row>
    <row r="149" spans="1:17" ht="46.5" x14ac:dyDescent="0.35">
      <c r="A149" s="4" t="s">
        <v>49</v>
      </c>
      <c r="B149" s="4" t="s">
        <v>663</v>
      </c>
      <c r="C149" s="5" t="s">
        <v>749</v>
      </c>
      <c r="D149" s="4" t="s">
        <v>750</v>
      </c>
      <c r="E149" s="5" t="s">
        <v>108</v>
      </c>
      <c r="F149" s="4" t="s">
        <v>672</v>
      </c>
      <c r="G149" s="4" t="s">
        <v>751</v>
      </c>
      <c r="H149" s="4" t="s">
        <v>752</v>
      </c>
      <c r="I149" s="4" t="s">
        <v>753</v>
      </c>
      <c r="J149" s="4"/>
      <c r="K149" s="5" t="s">
        <v>57</v>
      </c>
      <c r="L149" s="5" t="s">
        <v>57</v>
      </c>
      <c r="M149" s="5" t="s">
        <v>57</v>
      </c>
      <c r="N149" s="4"/>
      <c r="O149" s="5"/>
      <c r="P149" s="5"/>
      <c r="Q149" s="5"/>
    </row>
    <row r="150" spans="1:17" ht="46.5" x14ac:dyDescent="0.35">
      <c r="A150" s="4" t="s">
        <v>49</v>
      </c>
      <c r="B150" s="4" t="s">
        <v>663</v>
      </c>
      <c r="C150" s="5" t="s">
        <v>754</v>
      </c>
      <c r="D150" s="4" t="s">
        <v>755</v>
      </c>
      <c r="E150" s="5" t="s">
        <v>108</v>
      </c>
      <c r="F150" s="4" t="s">
        <v>672</v>
      </c>
      <c r="G150" s="4" t="s">
        <v>756</v>
      </c>
      <c r="H150" s="4" t="s">
        <v>757</v>
      </c>
      <c r="I150" s="4" t="s">
        <v>758</v>
      </c>
      <c r="J150" s="4"/>
      <c r="K150" s="5" t="s">
        <v>57</v>
      </c>
      <c r="L150" s="5" t="s">
        <v>57</v>
      </c>
      <c r="M150" s="5" t="s">
        <v>57</v>
      </c>
      <c r="N150" s="4"/>
      <c r="O150" s="5"/>
      <c r="P150" s="5"/>
      <c r="Q150" s="5"/>
    </row>
    <row r="151" spans="1:17" ht="46.5" x14ac:dyDescent="0.35">
      <c r="A151" s="4" t="s">
        <v>49</v>
      </c>
      <c r="B151" s="4" t="s">
        <v>663</v>
      </c>
      <c r="C151" s="5" t="s">
        <v>759</v>
      </c>
      <c r="D151" s="4" t="s">
        <v>760</v>
      </c>
      <c r="E151" s="5" t="s">
        <v>108</v>
      </c>
      <c r="F151" s="4" t="s">
        <v>672</v>
      </c>
      <c r="G151" s="4" t="s">
        <v>761</v>
      </c>
      <c r="H151" s="4" t="s">
        <v>762</v>
      </c>
      <c r="I151" s="4" t="s">
        <v>718</v>
      </c>
      <c r="J151" s="4"/>
      <c r="K151" s="5" t="s">
        <v>57</v>
      </c>
      <c r="L151" s="5" t="s">
        <v>57</v>
      </c>
      <c r="M151" s="5" t="s">
        <v>57</v>
      </c>
      <c r="N151" s="4"/>
      <c r="O151" s="5"/>
      <c r="P151" s="5"/>
      <c r="Q151" s="5"/>
    </row>
    <row r="152" spans="1:17" ht="77.5" x14ac:dyDescent="0.35">
      <c r="A152" s="4" t="s">
        <v>49</v>
      </c>
      <c r="B152" s="4" t="s">
        <v>663</v>
      </c>
      <c r="C152" s="5" t="s">
        <v>763</v>
      </c>
      <c r="D152" s="4" t="s">
        <v>764</v>
      </c>
      <c r="E152" s="5" t="s">
        <v>52</v>
      </c>
      <c r="F152" s="4" t="s">
        <v>672</v>
      </c>
      <c r="G152" s="4" t="s">
        <v>765</v>
      </c>
      <c r="H152" s="4" t="s">
        <v>766</v>
      </c>
      <c r="I152" s="4" t="s">
        <v>767</v>
      </c>
      <c r="J152" s="4"/>
      <c r="K152" s="5" t="s">
        <v>57</v>
      </c>
      <c r="L152" s="5" t="s">
        <v>57</v>
      </c>
      <c r="M152" s="5" t="s">
        <v>57</v>
      </c>
      <c r="N152" s="4"/>
      <c r="O152" s="5"/>
      <c r="P152" s="5"/>
      <c r="Q152" s="5"/>
    </row>
    <row r="153" spans="1:17" ht="46.5" x14ac:dyDescent="0.35">
      <c r="A153" s="4" t="s">
        <v>49</v>
      </c>
      <c r="B153" s="4" t="s">
        <v>663</v>
      </c>
      <c r="C153" s="5" t="s">
        <v>768</v>
      </c>
      <c r="D153" s="4" t="s">
        <v>769</v>
      </c>
      <c r="E153" s="5" t="s">
        <v>108</v>
      </c>
      <c r="F153" s="4" t="s">
        <v>672</v>
      </c>
      <c r="G153" s="4" t="s">
        <v>770</v>
      </c>
      <c r="H153" s="4" t="s">
        <v>771</v>
      </c>
      <c r="I153" s="4" t="s">
        <v>772</v>
      </c>
      <c r="J153" s="4"/>
      <c r="K153" s="5" t="s">
        <v>57</v>
      </c>
      <c r="L153" s="5" t="s">
        <v>57</v>
      </c>
      <c r="M153" s="5" t="s">
        <v>57</v>
      </c>
      <c r="N153" s="4"/>
      <c r="O153" s="5"/>
      <c r="P153" s="5"/>
      <c r="Q153" s="5"/>
    </row>
    <row r="154" spans="1:17" ht="46.5" x14ac:dyDescent="0.35">
      <c r="A154" s="4" t="s">
        <v>49</v>
      </c>
      <c r="B154" s="4" t="s">
        <v>663</v>
      </c>
      <c r="C154" s="5" t="s">
        <v>773</v>
      </c>
      <c r="D154" s="4" t="s">
        <v>774</v>
      </c>
      <c r="E154" s="5" t="s">
        <v>108</v>
      </c>
      <c r="F154" s="4" t="s">
        <v>672</v>
      </c>
      <c r="G154" s="4" t="s">
        <v>775</v>
      </c>
      <c r="H154" s="4" t="s">
        <v>776</v>
      </c>
      <c r="I154" s="4" t="s">
        <v>718</v>
      </c>
      <c r="J154" s="4"/>
      <c r="K154" s="5" t="s">
        <v>57</v>
      </c>
      <c r="L154" s="5" t="s">
        <v>57</v>
      </c>
      <c r="M154" s="5" t="s">
        <v>57</v>
      </c>
      <c r="N154" s="4"/>
      <c r="O154" s="5"/>
      <c r="P154" s="5"/>
      <c r="Q154" s="5"/>
    </row>
    <row r="155" spans="1:17" ht="62" x14ac:dyDescent="0.35">
      <c r="A155" s="4" t="s">
        <v>49</v>
      </c>
      <c r="B155" s="4" t="s">
        <v>663</v>
      </c>
      <c r="C155" s="5" t="s">
        <v>777</v>
      </c>
      <c r="D155" s="4" t="s">
        <v>778</v>
      </c>
      <c r="E155" s="5" t="s">
        <v>108</v>
      </c>
      <c r="F155" s="4" t="s">
        <v>672</v>
      </c>
      <c r="G155" s="4" t="s">
        <v>779</v>
      </c>
      <c r="H155" s="4" t="s">
        <v>780</v>
      </c>
      <c r="I155" s="4" t="s">
        <v>781</v>
      </c>
      <c r="J155" s="4"/>
      <c r="K155" s="5" t="s">
        <v>57</v>
      </c>
      <c r="L155" s="5" t="s">
        <v>57</v>
      </c>
      <c r="M155" s="5" t="s">
        <v>57</v>
      </c>
      <c r="N155" s="4"/>
      <c r="O155" s="5"/>
      <c r="P155" s="5"/>
      <c r="Q155" s="5"/>
    </row>
    <row r="156" spans="1:17" ht="62" x14ac:dyDescent="0.35">
      <c r="A156" s="4" t="s">
        <v>49</v>
      </c>
      <c r="B156" s="4" t="s">
        <v>663</v>
      </c>
      <c r="C156" s="5" t="s">
        <v>782</v>
      </c>
      <c r="D156" s="4" t="s">
        <v>783</v>
      </c>
      <c r="E156" s="5" t="s">
        <v>108</v>
      </c>
      <c r="F156" s="4" t="s">
        <v>784</v>
      </c>
      <c r="G156" s="4" t="s">
        <v>785</v>
      </c>
      <c r="H156" s="4" t="s">
        <v>786</v>
      </c>
      <c r="I156" s="4" t="s">
        <v>787</v>
      </c>
      <c r="J156" s="4"/>
      <c r="K156" s="5" t="s">
        <v>57</v>
      </c>
      <c r="L156" s="5" t="s">
        <v>57</v>
      </c>
      <c r="M156" s="5" t="s">
        <v>57</v>
      </c>
      <c r="N156" s="4"/>
      <c r="O156" s="5"/>
      <c r="P156" s="5"/>
      <c r="Q156" s="5"/>
    </row>
    <row r="157" spans="1:17" ht="93" x14ac:dyDescent="0.35">
      <c r="A157" s="4" t="s">
        <v>49</v>
      </c>
      <c r="B157" s="4" t="s">
        <v>663</v>
      </c>
      <c r="C157" s="5" t="s">
        <v>788</v>
      </c>
      <c r="D157" s="4" t="s">
        <v>789</v>
      </c>
      <c r="E157" s="5" t="s">
        <v>108</v>
      </c>
      <c r="F157" s="4" t="s">
        <v>790</v>
      </c>
      <c r="G157" s="4" t="s">
        <v>791</v>
      </c>
      <c r="H157" s="4" t="s">
        <v>792</v>
      </c>
      <c r="I157" s="4" t="s">
        <v>793</v>
      </c>
      <c r="J157" s="4"/>
      <c r="K157" s="5" t="s">
        <v>57</v>
      </c>
      <c r="L157" s="5" t="s">
        <v>57</v>
      </c>
      <c r="M157" s="5" t="s">
        <v>57</v>
      </c>
      <c r="N157" s="4"/>
      <c r="O157" s="5"/>
      <c r="P157" s="5"/>
      <c r="Q157" s="5"/>
    </row>
    <row r="158" spans="1:17" ht="108.5" x14ac:dyDescent="0.35">
      <c r="A158" s="4" t="s">
        <v>49</v>
      </c>
      <c r="B158" s="4" t="s">
        <v>663</v>
      </c>
      <c r="C158" s="5" t="s">
        <v>794</v>
      </c>
      <c r="D158" s="4" t="s">
        <v>795</v>
      </c>
      <c r="E158" s="5" t="s">
        <v>52</v>
      </c>
      <c r="F158" s="4" t="s">
        <v>796</v>
      </c>
      <c r="G158" s="4" t="s">
        <v>797</v>
      </c>
      <c r="H158" s="4" t="s">
        <v>798</v>
      </c>
      <c r="I158" s="4" t="s">
        <v>799</v>
      </c>
      <c r="J158" s="4"/>
      <c r="K158" s="5" t="s">
        <v>57</v>
      </c>
      <c r="L158" s="5" t="s">
        <v>57</v>
      </c>
      <c r="M158" s="5" t="s">
        <v>57</v>
      </c>
      <c r="N158" s="4"/>
      <c r="O158" s="5"/>
      <c r="P158" s="5"/>
      <c r="Q158" s="5"/>
    </row>
    <row r="159" spans="1:17" ht="62" x14ac:dyDescent="0.35">
      <c r="A159" s="4" t="s">
        <v>49</v>
      </c>
      <c r="B159" s="4" t="s">
        <v>663</v>
      </c>
      <c r="C159" s="5" t="s">
        <v>800</v>
      </c>
      <c r="D159" s="4" t="s">
        <v>801</v>
      </c>
      <c r="E159" s="5" t="s">
        <v>181</v>
      </c>
      <c r="F159" s="4" t="s">
        <v>802</v>
      </c>
      <c r="G159" s="4" t="s">
        <v>803</v>
      </c>
      <c r="H159" s="4" t="s">
        <v>804</v>
      </c>
      <c r="I159" s="4" t="s">
        <v>805</v>
      </c>
      <c r="J159" s="4"/>
      <c r="K159" s="5" t="s">
        <v>57</v>
      </c>
      <c r="L159" s="5" t="s">
        <v>57</v>
      </c>
      <c r="M159" s="5" t="s">
        <v>57</v>
      </c>
      <c r="N159" s="4"/>
      <c r="O159" s="5"/>
      <c r="P159" s="5"/>
      <c r="Q159" s="5"/>
    </row>
    <row r="160" spans="1:17" ht="77.5" x14ac:dyDescent="0.35">
      <c r="A160" s="4" t="s">
        <v>49</v>
      </c>
      <c r="B160" s="4" t="s">
        <v>663</v>
      </c>
      <c r="C160" s="5" t="s">
        <v>806</v>
      </c>
      <c r="D160" s="4" t="s">
        <v>807</v>
      </c>
      <c r="E160" s="5" t="s">
        <v>181</v>
      </c>
      <c r="F160" s="4" t="s">
        <v>672</v>
      </c>
      <c r="G160" s="4" t="s">
        <v>808</v>
      </c>
      <c r="H160" s="4" t="s">
        <v>809</v>
      </c>
      <c r="I160" s="4" t="s">
        <v>810</v>
      </c>
      <c r="J160" s="4"/>
      <c r="K160" s="5" t="s">
        <v>57</v>
      </c>
      <c r="L160" s="5" t="s">
        <v>57</v>
      </c>
      <c r="M160" s="5" t="s">
        <v>57</v>
      </c>
      <c r="N160" s="4"/>
      <c r="O160" s="5"/>
      <c r="P160" s="5"/>
      <c r="Q160" s="5"/>
    </row>
    <row r="161" spans="1:17" ht="15.5" x14ac:dyDescent="0.35">
      <c r="A161" s="3"/>
      <c r="B161" s="3"/>
      <c r="C161" s="6" t="s">
        <v>811</v>
      </c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8"/>
    </row>
    <row r="162" spans="1:17" ht="93" x14ac:dyDescent="0.35">
      <c r="A162" s="4" t="s">
        <v>49</v>
      </c>
      <c r="B162" s="4" t="s">
        <v>812</v>
      </c>
      <c r="C162" s="5" t="s">
        <v>813</v>
      </c>
      <c r="D162" s="4" t="s">
        <v>814</v>
      </c>
      <c r="E162" s="5" t="s">
        <v>181</v>
      </c>
      <c r="F162" s="4" t="s">
        <v>815</v>
      </c>
      <c r="G162" s="4" t="s">
        <v>816</v>
      </c>
      <c r="H162" s="4" t="s">
        <v>817</v>
      </c>
      <c r="I162" s="4" t="s">
        <v>818</v>
      </c>
      <c r="J162" s="4"/>
      <c r="K162" s="5" t="s">
        <v>57</v>
      </c>
      <c r="L162" s="5" t="s">
        <v>57</v>
      </c>
      <c r="M162" s="5" t="s">
        <v>57</v>
      </c>
      <c r="N162" s="4"/>
      <c r="O162" s="5"/>
      <c r="P162" s="5"/>
      <c r="Q162" s="5"/>
    </row>
    <row r="163" spans="1:17" ht="46.5" x14ac:dyDescent="0.35">
      <c r="A163" s="4" t="s">
        <v>49</v>
      </c>
      <c r="B163" s="4" t="s">
        <v>812</v>
      </c>
      <c r="C163" s="5" t="s">
        <v>819</v>
      </c>
      <c r="D163" s="4" t="s">
        <v>820</v>
      </c>
      <c r="E163" s="5" t="s">
        <v>181</v>
      </c>
      <c r="F163" s="4" t="s">
        <v>821</v>
      </c>
      <c r="G163" s="4" t="s">
        <v>822</v>
      </c>
      <c r="H163" s="4" t="s">
        <v>823</v>
      </c>
      <c r="I163" s="4" t="s">
        <v>824</v>
      </c>
      <c r="J163" s="4"/>
      <c r="K163" s="5" t="s">
        <v>57</v>
      </c>
      <c r="L163" s="5" t="s">
        <v>57</v>
      </c>
      <c r="M163" s="5" t="s">
        <v>57</v>
      </c>
      <c r="N163" s="4"/>
      <c r="O163" s="5"/>
      <c r="P163" s="5"/>
      <c r="Q163" s="5"/>
    </row>
    <row r="164" spans="1:17" ht="124" x14ac:dyDescent="0.35">
      <c r="A164" s="4" t="s">
        <v>49</v>
      </c>
      <c r="B164" s="4" t="s">
        <v>812</v>
      </c>
      <c r="C164" s="5" t="s">
        <v>825</v>
      </c>
      <c r="D164" s="4" t="s">
        <v>826</v>
      </c>
      <c r="E164" s="5" t="s">
        <v>108</v>
      </c>
      <c r="F164" s="4" t="s">
        <v>827</v>
      </c>
      <c r="G164" s="4" t="s">
        <v>828</v>
      </c>
      <c r="H164" s="4" t="s">
        <v>829</v>
      </c>
      <c r="I164" s="4" t="s">
        <v>830</v>
      </c>
      <c r="J164" s="4"/>
      <c r="K164" s="5" t="s">
        <v>57</v>
      </c>
      <c r="L164" s="5" t="s">
        <v>57</v>
      </c>
      <c r="M164" s="5" t="s">
        <v>57</v>
      </c>
      <c r="N164" s="4"/>
      <c r="O164" s="5"/>
      <c r="P164" s="5"/>
      <c r="Q164" s="5"/>
    </row>
    <row r="165" spans="1:17" ht="108.5" x14ac:dyDescent="0.35">
      <c r="A165" s="4" t="s">
        <v>49</v>
      </c>
      <c r="B165" s="4" t="s">
        <v>812</v>
      </c>
      <c r="C165" s="5" t="s">
        <v>831</v>
      </c>
      <c r="D165" s="4" t="s">
        <v>832</v>
      </c>
      <c r="E165" s="5" t="s">
        <v>108</v>
      </c>
      <c r="F165" s="4" t="s">
        <v>833</v>
      </c>
      <c r="G165" s="4" t="s">
        <v>834</v>
      </c>
      <c r="H165" s="4" t="s">
        <v>835</v>
      </c>
      <c r="I165" s="4" t="s">
        <v>836</v>
      </c>
      <c r="J165" s="4"/>
      <c r="K165" s="5" t="s">
        <v>57</v>
      </c>
      <c r="L165" s="5" t="s">
        <v>57</v>
      </c>
      <c r="M165" s="5" t="s">
        <v>57</v>
      </c>
      <c r="N165" s="4"/>
      <c r="O165" s="5"/>
      <c r="P165" s="5"/>
      <c r="Q165" s="5"/>
    </row>
    <row r="166" spans="1:17" ht="93" x14ac:dyDescent="0.35">
      <c r="A166" s="4" t="s">
        <v>49</v>
      </c>
      <c r="B166" s="4" t="s">
        <v>812</v>
      </c>
      <c r="C166" s="5" t="s">
        <v>837</v>
      </c>
      <c r="D166" s="4" t="s">
        <v>838</v>
      </c>
      <c r="E166" s="5" t="s">
        <v>52</v>
      </c>
      <c r="F166" s="4" t="s">
        <v>839</v>
      </c>
      <c r="G166" s="4" t="s">
        <v>840</v>
      </c>
      <c r="H166" s="4" t="s">
        <v>841</v>
      </c>
      <c r="I166" s="4" t="s">
        <v>842</v>
      </c>
      <c r="J166" s="4"/>
      <c r="K166" s="5" t="s">
        <v>57</v>
      </c>
      <c r="L166" s="5" t="s">
        <v>57</v>
      </c>
      <c r="M166" s="5" t="s">
        <v>57</v>
      </c>
      <c r="N166" s="4"/>
      <c r="O166" s="5"/>
      <c r="P166" s="5"/>
      <c r="Q166" s="5"/>
    </row>
    <row r="167" spans="1:17" ht="93" x14ac:dyDescent="0.35">
      <c r="A167" s="4" t="s">
        <v>49</v>
      </c>
      <c r="B167" s="4" t="s">
        <v>812</v>
      </c>
      <c r="C167" s="5" t="s">
        <v>843</v>
      </c>
      <c r="D167" s="4" t="s">
        <v>844</v>
      </c>
      <c r="E167" s="5" t="s">
        <v>108</v>
      </c>
      <c r="F167" s="4" t="s">
        <v>845</v>
      </c>
      <c r="G167" s="4" t="s">
        <v>846</v>
      </c>
      <c r="H167" s="4" t="s">
        <v>847</v>
      </c>
      <c r="I167" s="4" t="s">
        <v>848</v>
      </c>
      <c r="J167" s="4"/>
      <c r="K167" s="5" t="s">
        <v>57</v>
      </c>
      <c r="L167" s="5" t="s">
        <v>57</v>
      </c>
      <c r="M167" s="5" t="s">
        <v>57</v>
      </c>
      <c r="N167" s="4"/>
      <c r="O167" s="5"/>
      <c r="P167" s="5"/>
      <c r="Q167" s="5"/>
    </row>
  </sheetData>
  <mergeCells count="42">
    <mergeCell ref="C161:Q161"/>
    <mergeCell ref="O13:Q13"/>
    <mergeCell ref="I14:J14"/>
    <mergeCell ref="C18:Q18"/>
    <mergeCell ref="K14:L14"/>
    <mergeCell ref="O15:Q15"/>
    <mergeCell ref="M14:N14"/>
    <mergeCell ref="I13:J13"/>
    <mergeCell ref="F11:H15"/>
    <mergeCell ref="K13:L13"/>
    <mergeCell ref="C132:Q132"/>
    <mergeCell ref="C110:Q110"/>
    <mergeCell ref="B7:N7"/>
    <mergeCell ref="B3:N3"/>
    <mergeCell ref="O11:Q11"/>
    <mergeCell ref="M13:N13"/>
    <mergeCell ref="I12:J12"/>
    <mergeCell ref="O14:Q14"/>
    <mergeCell ref="M15:N15"/>
    <mergeCell ref="K12:L12"/>
    <mergeCell ref="M12:N12"/>
    <mergeCell ref="B8:N8"/>
    <mergeCell ref="B10:N10"/>
    <mergeCell ref="B6:N6"/>
    <mergeCell ref="A1:N1"/>
    <mergeCell ref="B5:N5"/>
    <mergeCell ref="C43:Q43"/>
    <mergeCell ref="K11:L11"/>
    <mergeCell ref="M11:N11"/>
    <mergeCell ref="B4:N4"/>
    <mergeCell ref="O12:Q12"/>
    <mergeCell ref="B2:N2"/>
    <mergeCell ref="C29:Q29"/>
    <mergeCell ref="C121:Q121"/>
    <mergeCell ref="B9:N9"/>
    <mergeCell ref="I15:J15"/>
    <mergeCell ref="C99:Q99"/>
    <mergeCell ref="K15:L15"/>
    <mergeCell ref="A11:E11"/>
    <mergeCell ref="I11:J11"/>
    <mergeCell ref="C60:Q60"/>
    <mergeCell ref="C76:Q76"/>
  </mergeCells>
  <dataValidations count="2">
    <dataValidation type="list" allowBlank="1" sqref="K18:M217" xr:uid="{00000000-0002-0000-0000-000000000000}">
      <formula1>"Passed,Failed,Pending,Not Executed"</formula1>
    </dataValidation>
    <dataValidation type="list" allowBlank="1" sqref="O18:Q217" xr:uid="{00000000-0002-0000-0000-000001000000}">
      <formula1>"P,F,PE"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Trang tính1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 Tri</cp:lastModifiedBy>
  <dcterms:created xsi:type="dcterms:W3CDTF">2026-08-12T07:33:33Z</dcterms:created>
  <dcterms:modified xsi:type="dcterms:W3CDTF">2026-08-12T07:36:26Z</dcterms:modified>
</cp:coreProperties>
</file>