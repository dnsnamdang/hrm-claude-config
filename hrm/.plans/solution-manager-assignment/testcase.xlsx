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 cong quan ly G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4E79"/>
      <sz val="14"/>
    </font>
    <font>
      <color rgb="FF000000"/>
      <sz val="11"/>
    </font>
    <font>
      <b val="1"/>
      <color rgb="FFFFFFFF"/>
      <sz val="11"/>
    </font>
    <font>
      <b val="1"/>
      <color rgb="FF1F4E79"/>
      <sz val="11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3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40" customWidth="1" min="4" max="4"/>
    <col width="10" customWidth="1" min="5" max="5"/>
    <col width="30" customWidth="1" min="6" max="6"/>
    <col width="55" customWidth="1" min="7" max="7"/>
    <col width="22" customWidth="1" min="8" max="8"/>
    <col width="12" customWidth="1" min="9" max="9"/>
    <col width="60" customWidth="1" min="10" max="10"/>
    <col width="15" customWidth="1" min="11" max="11"/>
    <col width="14" customWidth="1" min="12" max="12"/>
    <col width="15" customWidth="1" min="13" max="13"/>
  </cols>
  <sheetData>
    <row r="1">
      <c r="A1" s="1" t="inlineStr">
        <is>
          <t>Testcase _ Phân công quản lý giải pháp (Assign/Solutions)</t>
        </is>
      </c>
      <c r="F1" s="2" t="inlineStr">
        <is>
          <t>TEST SUMMARY</t>
        </is>
      </c>
      <c r="J1" s="2" t="inlineStr">
        <is>
          <t>Số trường hợp kiểm thử đạt (P):</t>
        </is>
      </c>
      <c r="K1" s="2">
        <f>COUNTIF(L8:L500,"Passed")</f>
        <v/>
      </c>
    </row>
    <row r="2">
      <c r="J2" s="2" t="inlineStr">
        <is>
          <t>Số trường hợp kiểm thử không đạt (F):</t>
        </is>
      </c>
      <c r="K2" s="2">
        <f>COUNTIF(L8:L500,"Failed")</f>
        <v/>
      </c>
    </row>
    <row r="3">
      <c r="J3" s="2" t="inlineStr">
        <is>
          <t>Số trường hợp kiểm thử đang xem xét (PE):</t>
        </is>
      </c>
      <c r="K3" s="2">
        <f>COUNTIF(L8:L500,"Pending")</f>
        <v/>
      </c>
    </row>
    <row r="4">
      <c r="J4" s="2" t="inlineStr">
        <is>
          <t>Số trường hợp kiểm thử chưa thực hiện:</t>
        </is>
      </c>
      <c r="K4" s="2">
        <f>COUNTIF(L8:L500,"Not Executed")</f>
        <v/>
      </c>
    </row>
    <row r="5">
      <c r="J5" s="2" t="inlineStr">
        <is>
          <t>Tổng số trường hợp kiểm thử:</t>
        </is>
      </c>
      <c r="K5" s="2">
        <f>COUNTA(L8:L500)</f>
        <v/>
      </c>
    </row>
    <row r="6" ht="30" customHeight="1">
      <c r="A6" s="3" t="inlineStr">
        <is>
          <t>Module</t>
        </is>
      </c>
      <c r="B6" s="3" t="inlineStr">
        <is>
          <t>Nhóm chức năng</t>
        </is>
      </c>
      <c r="C6" s="3" t="inlineStr">
        <is>
          <t>TC ID</t>
        </is>
      </c>
      <c r="D6" s="3" t="inlineStr">
        <is>
          <t>Chức năng</t>
        </is>
      </c>
      <c r="E6" s="3" t="inlineStr">
        <is>
          <t>Priority</t>
        </is>
      </c>
      <c r="F6" s="3" t="inlineStr">
        <is>
          <t>Tiền điều kiện</t>
        </is>
      </c>
      <c r="G6" s="3" t="inlineStr">
        <is>
          <t>Bước thực hiện</t>
        </is>
      </c>
      <c r="H6" s="3" t="inlineStr">
        <is>
          <t>Test Data</t>
        </is>
      </c>
      <c r="I6" s="3" t="inlineStr">
        <is>
          <t>Test Data</t>
        </is>
      </c>
      <c r="J6" s="3" t="inlineStr">
        <is>
          <t>Expected Result (chi tiết)</t>
        </is>
      </c>
      <c r="K6" s="3" t="inlineStr">
        <is>
          <t>KQ thực tế</t>
        </is>
      </c>
      <c r="L6" s="3" t="inlineStr">
        <is>
          <t>Status</t>
        </is>
      </c>
      <c r="M6" s="3" t="inlineStr">
        <is>
          <t>Ghi chú</t>
        </is>
      </c>
    </row>
    <row r="7">
      <c r="A7" s="4" t="n"/>
      <c r="B7" s="4" t="n"/>
      <c r="C7" s="5" t="inlineStr">
        <is>
          <t>1. GIAO DIỆN — Tab Nhân sự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</row>
    <row r="8">
      <c r="A8" s="6" t="inlineStr">
        <is>
          <t>Giao việc</t>
        </is>
      </c>
      <c r="B8" s="6" t="inlineStr">
        <is>
          <t>Phân công quản lý GP</t>
        </is>
      </c>
      <c r="C8" s="6" t="inlineStr">
        <is>
          <t>PCQL_001.001</t>
        </is>
      </c>
      <c r="D8" s="6" t="inlineStr">
        <is>
          <t>Hi���n thị button Phân công</t>
        </is>
      </c>
      <c r="E8" s="6" t="inlineStr">
        <is>
          <t>P0</t>
        </is>
      </c>
      <c r="F8" s="6" t="inlineStr">
        <is>
          <t>User là Trưởng phòng GP (created_by) hoặc PM; GP status ≠ Đóng</t>
        </is>
      </c>
      <c r="G8" s="6" t="inlineStr">
        <is>
          <t>1. Mở giải pháp → Tab Nhân sự
2. Quan sát action bar</t>
        </is>
      </c>
      <c r="H8" s="6" t="inlineStr">
        <is>
          <t>GP status = Đang triển khai</t>
        </is>
      </c>
      <c r="I8" s="6" t="inlineStr"/>
      <c r="J8" s="6" t="inlineStr">
        <is>
          <t>Button "Phân công" (icon ri-user-settings-line) hiện bên trái button "Thêm nhân sự"</t>
        </is>
      </c>
      <c r="K8" s="6" t="inlineStr"/>
      <c r="L8" s="6" t="inlineStr">
        <is>
          <t>Not Executed</t>
        </is>
      </c>
      <c r="M8" s="6" t="inlineStr"/>
    </row>
    <row r="9">
      <c r="A9" s="6" t="inlineStr">
        <is>
          <t>Giao việc</t>
        </is>
      </c>
      <c r="B9" s="6" t="inlineStr">
        <is>
          <t>Phân công quản lý GP</t>
        </is>
      </c>
      <c r="C9" s="6" t="inlineStr">
        <is>
          <t>PCQL_001.002</t>
        </is>
      </c>
      <c r="D9" s="6" t="inlineStr">
        <is>
          <t>Ẩn button Phân công khi GP Đóng</t>
        </is>
      </c>
      <c r="E9" s="6" t="inlineStr">
        <is>
          <t>P0</t>
        </is>
      </c>
      <c r="F9" s="6" t="inlineStr">
        <is>
          <t>GP status = 2 (Đóng)</t>
        </is>
      </c>
      <c r="G9" s="6" t="inlineStr">
        <is>
          <t>1. Mở GP đ�� đóng → Tab Nhân sự
2. Quan sát action bar</t>
        </is>
      </c>
      <c r="H9" s="6" t="inlineStr">
        <is>
          <t>GP status = 2</t>
        </is>
      </c>
      <c r="I9" s="6" t="inlineStr"/>
      <c r="J9" s="6" t="inlineStr">
        <is>
          <t>KHÔNG hiện button "Phân công"</t>
        </is>
      </c>
      <c r="K9" s="6" t="inlineStr"/>
      <c r="L9" s="6" t="inlineStr">
        <is>
          <t>Not Executed</t>
        </is>
      </c>
      <c r="M9" s="6" t="inlineStr"/>
    </row>
    <row r="10">
      <c r="A10" s="6" t="inlineStr">
        <is>
          <t>Giao việc</t>
        </is>
      </c>
      <c r="B10" s="6" t="inlineStr">
        <is>
          <t>Phân công quản lý GP</t>
        </is>
      </c>
      <c r="C10" s="6" t="inlineStr">
        <is>
          <t>PCQL_001.003</t>
        </is>
      </c>
      <c r="D10" s="6" t="inlineStr">
        <is>
          <t>Ẩn button Phân công khi user không có quyền</t>
        </is>
      </c>
      <c r="E10" s="6" t="inlineStr">
        <is>
          <t>P0</t>
        </is>
      </c>
      <c r="F10" s="6" t="inlineStr">
        <is>
          <t>User không phải created_by và không phải pm_id</t>
        </is>
      </c>
      <c r="G10" s="6" t="inlineStr">
        <is>
          <t>1. Login bằng user là thành viên (không phải TP GP / PM)
2. Mở GP → Tab Nhân sự</t>
        </is>
      </c>
      <c r="H10" s="6" t="inlineStr">
        <is>
          <t>User l�� member thường</t>
        </is>
      </c>
      <c r="I10" s="6" t="inlineStr"/>
      <c r="J10" s="6" t="inlineStr">
        <is>
          <t>KHÔNG hiện button "Phân công"</t>
        </is>
      </c>
      <c r="K10" s="6" t="inlineStr"/>
      <c r="L10" s="6" t="inlineStr">
        <is>
          <t>Not Executed</t>
        </is>
      </c>
      <c r="M10" s="6" t="inlineStr"/>
    </row>
    <row r="11">
      <c r="A11" s="6" t="inlineStr">
        <is>
          <t>Giao việc</t>
        </is>
      </c>
      <c r="B11" s="6" t="inlineStr">
        <is>
          <t>Phân công quản lý GP</t>
        </is>
      </c>
      <c r="C11" s="6" t="inlineStr">
        <is>
          <t>PCQL_001.004</t>
        </is>
      </c>
      <c r="D11" s="6" t="inlineStr">
        <is>
          <t>Hiển thị button Xem lịch sử phân công</t>
        </is>
      </c>
      <c r="E11" s="6" t="inlineStr">
        <is>
          <t>P1</t>
        </is>
      </c>
      <c r="F11" s="6" t="inlineStr">
        <is>
          <t>User có quyền xem tab Nhân sự</t>
        </is>
      </c>
      <c r="G11" s="6" t="inlineStr">
        <is>
          <t>1. Mở GP → Tab Nhân sự
2. Quan sát action bar</t>
        </is>
      </c>
      <c r="H11" s="6" t="inlineStr"/>
      <c r="I11" s="6" t="inlineStr"/>
      <c r="J11" s="6" t="inlineStr">
        <is>
          <t>Button "Xem lịch sử phân công" (icon ri-history-line) luôn hiện</t>
        </is>
      </c>
      <c r="K11" s="6" t="inlineStr"/>
      <c r="L11" s="6" t="inlineStr">
        <is>
          <t>Not Executed</t>
        </is>
      </c>
      <c r="M11" s="6" t="inlineStr"/>
    </row>
    <row r="12">
      <c r="A12" s="6" t="inlineStr">
        <is>
          <t>Giao việc</t>
        </is>
      </c>
      <c r="B12" s="6" t="inlineStr">
        <is>
          <t>Phân công quản lý GP</t>
        </is>
      </c>
      <c r="C12" s="6" t="inlineStr">
        <is>
          <t>PCQL_001.005</t>
        </is>
      </c>
      <c r="D12" s="6" t="inlineStr">
        <is>
          <t>Popup Phân công — layout</t>
        </is>
      </c>
      <c r="E12" s="6" t="inlineStr">
        <is>
          <t>P1</t>
        </is>
      </c>
      <c r="F12" s="6" t="inlineStr">
        <is>
          <t>User có quyền phân công</t>
        </is>
      </c>
      <c r="G12" s="6" t="inlineStr">
        <is>
          <t>1. Click button "Phân công"
2. Quan sát popup</t>
        </is>
      </c>
      <c r="H12" s="6" t="inlineStr"/>
      <c r="I12" s="6" t="inlineStr"/>
      <c r="J12" s="6" t="inlineStr">
        <is>
          <t>Popup size lg, header icon + title "Phân công quản lý", footer có button "Xác nhận phân công" + "Đóng"</t>
        </is>
      </c>
      <c r="K12" s="6" t="inlineStr"/>
      <c r="L12" s="6" t="inlineStr">
        <is>
          <t>Not Executed</t>
        </is>
      </c>
      <c r="M12" s="6" t="inlineStr"/>
    </row>
    <row r="13">
      <c r="A13" s="6" t="inlineStr">
        <is>
          <t>Giao việc</t>
        </is>
      </c>
      <c r="B13" s="6" t="inlineStr">
        <is>
          <t>Phân công quản lý GP</t>
        </is>
      </c>
      <c r="C13" s="6" t="inlineStr">
        <is>
          <t>PCQL_001.006</t>
        </is>
      </c>
      <c r="D13" s="6" t="inlineStr">
        <is>
          <t>Popup Phân công — radio loại</t>
        </is>
      </c>
      <c r="E13" s="6" t="inlineStr">
        <is>
          <t>P0</t>
        </is>
      </c>
      <c r="F13" s="6" t="inlineStr">
        <is>
          <t>User mở popup phân công</t>
        </is>
      </c>
      <c r="G13" s="6" t="inlineStr">
        <is>
          <t>1. Quan sát radio buttons</t>
        </is>
      </c>
      <c r="H13" s="6" t="inlineStr"/>
      <c r="I13" s="6" t="inlineStr"/>
      <c r="J13" s="6" t="inlineStr">
        <is>
          <t>Có 2 radio: "Phân công PM" và "Phân công Leader". Radio disabled nếu user không có quyền tương ứng</t>
        </is>
      </c>
      <c r="K13" s="6" t="inlineStr"/>
      <c r="L13" s="6" t="inlineStr">
        <is>
          <t>Not Executed</t>
        </is>
      </c>
      <c r="M13" s="6" t="inlineStr"/>
    </row>
    <row r="14">
      <c r="A14" s="6" t="inlineStr">
        <is>
          <t>Giao việc</t>
        </is>
      </c>
      <c r="B14" s="6" t="inlineStr">
        <is>
          <t>Phân công quản lý GP</t>
        </is>
      </c>
      <c r="C14" s="6" t="inlineStr">
        <is>
          <t>PCQL_001.007</t>
        </is>
      </c>
      <c r="D14" s="6" t="inlineStr">
        <is>
          <t>Popup Lịch sử — layout</t>
        </is>
      </c>
      <c r="E14" s="6" t="inlineStr">
        <is>
          <t>P1</t>
        </is>
      </c>
      <c r="F14" s="6" t="inlineStr">
        <is>
          <t>User click "Xem lịch sử phân công"</t>
        </is>
      </c>
      <c r="G14" s="6" t="inlineStr">
        <is>
          <t>1. Click button "Xem lịch sử"
2. Quan sát popup</t>
        </is>
      </c>
      <c r="H14" s="6" t="inlineStr"/>
      <c r="I14" s="6" t="inlineStr"/>
      <c r="J14" s="6" t="inlineStr">
        <is>
          <t>Popup size xl, bảng 8 cột: Ngày | Loại | Hạng mục | Người cũ | Người mới | Vai trò mới | Ghi chú | Người thực hiện</t>
        </is>
      </c>
      <c r="K14" s="6" t="inlineStr"/>
      <c r="L14" s="6" t="inlineStr">
        <is>
          <t>Not Executed</t>
        </is>
      </c>
      <c r="M14" s="6" t="inlineStr"/>
    </row>
    <row r="15">
      <c r="A15" s="4" t="n"/>
      <c r="B15" s="4" t="n"/>
      <c r="C15" s="5" t="inlineStr">
        <is>
          <t>2. CHỨC NĂNG — Phân công PM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</row>
    <row r="16">
      <c r="A16" s="6" t="inlineStr">
        <is>
          <t>Giao việc</t>
        </is>
      </c>
      <c r="B16" s="6" t="inlineStr">
        <is>
          <t>Phân công quản lý GP</t>
        </is>
      </c>
      <c r="C16" s="6" t="inlineStr">
        <is>
          <t>PCQL_002.001</t>
        </is>
      </c>
      <c r="D16" s="6" t="inlineStr">
        <is>
          <t>Phân công PM — happy path (GP không module)</t>
        </is>
      </c>
      <c r="E16" s="6" t="inlineStr">
        <is>
          <t>P0</t>
        </is>
      </c>
      <c r="F16" s="6" t="inlineStr">
        <is>
          <t>User là TP GP; GP không có module; GP status ≠ Đóng</t>
        </is>
      </c>
      <c r="G16" s="6" t="inlineStr">
        <is>
          <t>1. Click "Phân công"
2. Chọn "Phân công PM"
3. Chọn vai trò mới cho PM cũ: "Chuyên viên"
4. Chọn PM mới
5. Nh���p ghi chú ≥50 ký tự
6. Click "Xác nhận" → OK confirm</t>
        </is>
      </c>
      <c r="H16" s="6" t="inlineStr">
        <is>
          <t>PM mới: NV cùng phòng</t>
        </is>
      </c>
      <c r="I16" s="6" t="inlineStr"/>
      <c r="J16" s="6" t="inlineStr">
        <is>
          <t>solutions.pm_id cập nhật = PM mới.
PM cũ được thêm vào solution_members v��i vai trò "Chuyên viên", start_date = today.
Log ghi nhận.
Notification gửi cho PM cũ + PM mới.</t>
        </is>
      </c>
      <c r="K16" s="6" t="inlineStr"/>
      <c r="L16" s="6" t="inlineStr">
        <is>
          <t>Not Executed</t>
        </is>
      </c>
      <c r="M16" s="6" t="inlineStr"/>
    </row>
    <row r="17">
      <c r="A17" s="6" t="inlineStr">
        <is>
          <t>Giao việc</t>
        </is>
      </c>
      <c r="B17" s="6" t="inlineStr">
        <is>
          <t>Phân công quản lý GP</t>
        </is>
      </c>
      <c r="C17" s="6" t="inlineStr">
        <is>
          <t>PCQL_002.002</t>
        </is>
      </c>
      <c r="D17" s="6" t="inlineStr">
        <is>
          <t>Phân công PM — happy path (GP có module)</t>
        </is>
      </c>
      <c r="E17" s="6" t="inlineStr">
        <is>
          <t>P0</t>
        </is>
      </c>
      <c r="F17" s="6" t="inlineStr">
        <is>
          <t>User là TP GP; GP CÓ module; GP status ≠ Đóng</t>
        </is>
      </c>
      <c r="G17" s="6" t="inlineStr">
        <is>
          <t>1. Click "Phân công"
2. Chọn "Phân công PM"
3. Chọn vai trò mới
4. Select "Module cho PM cũ" hiện → chọn module
5. Chọn PM mới
6. Ghi chú ≥50 ký tự
7. Xác nhận</t>
        </is>
      </c>
      <c r="H17" s="6" t="inlineStr">
        <is>
          <t>GP có 2 module HM01, HM02</t>
        </is>
      </c>
      <c r="I17" s="6" t="inlineStr"/>
      <c r="J17" s="6" t="inlineStr">
        <is>
          <t>solutions.pm_id cập nhật.
PM cũ thêm vào solution_module_members c��a module đã chọn.
Log ghi nhận old_manager_module_id.</t>
        </is>
      </c>
      <c r="K17" s="6" t="inlineStr"/>
      <c r="L17" s="6" t="inlineStr">
        <is>
          <t>Not Executed</t>
        </is>
      </c>
      <c r="M17" s="6" t="inlineStr"/>
    </row>
    <row r="18">
      <c r="A18" s="6" t="inlineStr">
        <is>
          <t>Giao việc</t>
        </is>
      </c>
      <c r="B18" s="6" t="inlineStr">
        <is>
          <t>Phân công quản lý GP</t>
        </is>
      </c>
      <c r="C18" s="6" t="inlineStr">
        <is>
          <t>PCQL_002.003</t>
        </is>
      </c>
      <c r="D18" s="6" t="inlineStr">
        <is>
          <t>Phân công PM — không chọn vai trò mới</t>
        </is>
      </c>
      <c r="E18" s="6" t="inlineStr">
        <is>
          <t>P0</t>
        </is>
      </c>
      <c r="F18" s="6" t="inlineStr">
        <is>
          <t>User là TP GP; GP status ≠ Đóng</t>
        </is>
      </c>
      <c r="G18" s="6" t="inlineStr">
        <is>
          <t>1. Click "Phân công"
2. Chọn "Phân công PM"
3. KHÔNG chọn vai trò mới
4. Chọn PM mới
5. Ghi chú ≥50 ký tự
6. Xác nhận</t>
        </is>
      </c>
      <c r="H18" s="6" t="inlineStr"/>
      <c r="I18" s="6" t="inlineStr"/>
      <c r="J18" s="6" t="inlineStr">
        <is>
          <t>solutions.pm_id cập nhật.
PM cũ KHÔNG được thêm vào bất kỳ danh sách nhân sự nào (rời dự án).
Log ghi old_manager_new_role_id = null.</t>
        </is>
      </c>
      <c r="K18" s="6" t="inlineStr"/>
      <c r="L18" s="6" t="inlineStr">
        <is>
          <t>Not Executed</t>
        </is>
      </c>
      <c r="M18" s="6" t="inlineStr"/>
    </row>
    <row r="19">
      <c r="A19" s="6" t="inlineStr">
        <is>
          <t>Giao việc</t>
        </is>
      </c>
      <c r="B19" s="6" t="inlineStr">
        <is>
          <t>Phân công quản lý GP</t>
        </is>
      </c>
      <c r="C19" s="6" t="inlineStr">
        <is>
          <t>PCQL_002.004</t>
        </is>
      </c>
      <c r="D19" s="6" t="inlineStr">
        <is>
          <t>Phân công PM — user không phải TP GP</t>
        </is>
      </c>
      <c r="E19" s="6" t="inlineStr">
        <is>
          <t>P0</t>
        </is>
      </c>
      <c r="F19" s="6" t="inlineStr">
        <is>
          <t>User là PM nhưng KHÔNG phải created_by</t>
        </is>
      </c>
      <c r="G19" s="6" t="inlineStr">
        <is>
          <t>1. Radio "Phân công PM" bị disabled
HOẶC: Gọi API trực tiếp</t>
        </is>
      </c>
      <c r="H19" s="6" t="inlineStr"/>
      <c r="I19" s="6" t="inlineStr"/>
      <c r="J19" s="6" t="inlineStr">
        <is>
          <t>Radio disabled (FE).
N���u gọi API: trả 403 "Bạn không có quyền phân công PM"</t>
        </is>
      </c>
      <c r="K19" s="6" t="inlineStr"/>
      <c r="L19" s="6" t="inlineStr">
        <is>
          <t>Not Executed</t>
        </is>
      </c>
      <c r="M19" s="6" t="inlineStr"/>
    </row>
    <row r="20">
      <c r="A20" s="6" t="inlineStr">
        <is>
          <t>Giao việc</t>
        </is>
      </c>
      <c r="B20" s="6" t="inlineStr">
        <is>
          <t>Phân công quản lý GP</t>
        </is>
      </c>
      <c r="C20" s="6" t="inlineStr">
        <is>
          <t>PCQL_002.005</t>
        </is>
      </c>
      <c r="D20" s="6" t="inlineStr">
        <is>
          <t>Phân công PM — notification nội dung</t>
        </is>
      </c>
      <c r="E20" s="6" t="inlineStr">
        <is>
          <t>P1</t>
        </is>
      </c>
      <c r="F20" s="6" t="inlineStr">
        <is>
          <t>Phân công PM thành công</t>
        </is>
      </c>
      <c r="G20" s="6" t="inlineStr">
        <is>
          <t>1. Hoàn thành phân công PM
2. Kiểm tra notification PM cũ + PM mới</t>
        </is>
      </c>
      <c r="H20" s="6" t="inlineStr"/>
      <c r="I20" s="6" t="inlineStr"/>
      <c r="J20" s="6" t="inlineStr">
        <is>
          <t>PM cũ nhận: "Bạn đã được thay thế vị trí PM giải pháp [code - name]. PM mới: [tên]. Vai trò mới: [role]"
PM mới nhận: "Bạn được phân công làm PM giải pháp [code - name]"</t>
        </is>
      </c>
      <c r="K20" s="6" t="inlineStr"/>
      <c r="L20" s="6" t="inlineStr">
        <is>
          <t>Not Executed</t>
        </is>
      </c>
      <c r="M20" s="6" t="inlineStr"/>
    </row>
    <row r="21">
      <c r="A21" s="4" t="n"/>
      <c r="B21" s="4" t="n"/>
      <c r="C21" s="5" t="inlineStr">
        <is>
          <t>3. CHỨC NĂNG — Phân công Leader</t>
        </is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</row>
    <row r="22">
      <c r="A22" s="6" t="inlineStr">
        <is>
          <t>Giao việc</t>
        </is>
      </c>
      <c r="B22" s="6" t="inlineStr">
        <is>
          <t>Phân công quản lý GP</t>
        </is>
      </c>
      <c r="C22" s="6" t="inlineStr">
        <is>
          <t>PCQL_003.001</t>
        </is>
      </c>
      <c r="D22" s="6" t="inlineStr">
        <is>
          <t>Phân công Leader — happy path</t>
        </is>
      </c>
      <c r="E22" s="6" t="inlineStr">
        <is>
          <t>P0</t>
        </is>
      </c>
      <c r="F22" s="6" t="inlineStr">
        <is>
          <t>User là TP GP hoặc PM; GP có module</t>
        </is>
      </c>
      <c r="G22" s="6" t="inlineStr">
        <is>
          <t>1. Click "Phân công"
2. Chọn "Phân công Leader"
3. Chọn hạng mục → hiện Leader hiện tại
4. Chọn vai trò mới cho Leader cũ
5. Chọn Leader mới
6. Ghi chú ≥50 ký tự
7. Xác nhận</t>
        </is>
      </c>
      <c r="H22" s="6" t="inlineStr">
        <is>
          <t>Hạng mục HM01 có Leader A</t>
        </is>
      </c>
      <c r="I22" s="6" t="inlineStr"/>
      <c r="J22" s="6" t="inlineStr">
        <is>
          <t>solution_modules.leader_id cập nhật = Leader mới.
Leader cũ thêm vào solution_module_members với vai trò đã chọn.
Log type=leader, solution_module_id = HM01.</t>
        </is>
      </c>
      <c r="K22" s="6" t="inlineStr"/>
      <c r="L22" s="6" t="inlineStr">
        <is>
          <t>Not Executed</t>
        </is>
      </c>
      <c r="M22" s="6" t="inlineStr"/>
    </row>
    <row r="23">
      <c r="A23" s="6" t="inlineStr">
        <is>
          <t>Giao việc</t>
        </is>
      </c>
      <c r="B23" s="6" t="inlineStr">
        <is>
          <t>Phân công quản lý GP</t>
        </is>
      </c>
      <c r="C23" s="6" t="inlineStr">
        <is>
          <t>PCQL_003.002</t>
        </is>
      </c>
      <c r="D23" s="6" t="inlineStr">
        <is>
          <t>Phân công Leader — không chọn vai trò</t>
        </is>
      </c>
      <c r="E23" s="6" t="inlineStr">
        <is>
          <t>P0</t>
        </is>
      </c>
      <c r="F23" s="6" t="inlineStr">
        <is>
          <t>User có quyền; GP có module</t>
        </is>
      </c>
      <c r="G23" s="6" t="inlineStr">
        <is>
          <t>1. Chọn "Phân công Leader"
2. Chọn hạng mục
3. KHÔNG chọn vai trò mới
4. Chọn Leader mới
5. Ghi chú
6. Xác nhận</t>
        </is>
      </c>
      <c r="H23" s="6" t="inlineStr"/>
      <c r="I23" s="6" t="inlineStr"/>
      <c r="J23" s="6" t="inlineStr">
        <is>
          <t>Leader cũ rời hạng mục (không thêm vào member).
Leader mới cập nhật.</t>
        </is>
      </c>
      <c r="K23" s="6" t="inlineStr"/>
      <c r="L23" s="6" t="inlineStr">
        <is>
          <t>Not Executed</t>
        </is>
      </c>
      <c r="M23" s="6" t="inlineStr"/>
    </row>
    <row r="24">
      <c r="A24" s="6" t="inlineStr">
        <is>
          <t>Giao việc</t>
        </is>
      </c>
      <c r="B24" s="6" t="inlineStr">
        <is>
          <t>Phân công quản lý GP</t>
        </is>
      </c>
      <c r="C24" s="6" t="inlineStr">
        <is>
          <t>PCQL_003.003</t>
        </is>
      </c>
      <c r="D24" s="6" t="inlineStr">
        <is>
          <t>Phân công Leader — Leader mới đang là member</t>
        </is>
      </c>
      <c r="E24" s="6" t="inlineStr">
        <is>
          <t>P1</t>
        </is>
      </c>
      <c r="F24" s="6" t="inlineStr">
        <is>
          <t>Leader mới đang là member trong hạng mục đó</t>
        </is>
      </c>
      <c r="G24" s="6" t="inlineStr">
        <is>
          <t>1. Chọn "Phân công Leader"
2. Chọn hạng mục
3. Chọn Leader mới = 1 member hiện có
4. Xác nhận</t>
        </is>
      </c>
      <c r="H24" s="6" t="inlineStr">
        <is>
          <t>NV B là member HM01</t>
        </is>
      </c>
      <c r="I24" s="6" t="inlineStr"/>
      <c r="J24" s="6" t="inlineStr">
        <is>
          <t>solution_modules.leader_id = NV B.
Record member của NV B trong solution_module_members KHÔNG bị xóa (giữ nguyên).</t>
        </is>
      </c>
      <c r="K24" s="6" t="inlineStr"/>
      <c r="L24" s="6" t="inlineStr">
        <is>
          <t>Not Executed</t>
        </is>
      </c>
      <c r="M24" s="6" t="inlineStr"/>
    </row>
    <row r="25">
      <c r="A25" s="6" t="inlineStr">
        <is>
          <t>Giao việc</t>
        </is>
      </c>
      <c r="B25" s="6" t="inlineStr">
        <is>
          <t>Phân công quản lý GP</t>
        </is>
      </c>
      <c r="C25" s="6" t="inlineStr">
        <is>
          <t>PCQL_003.004</t>
        </is>
      </c>
      <c r="D25" s="6" t="inlineStr">
        <is>
          <t>Phân công Leader — PM th��c hiện</t>
        </is>
      </c>
      <c r="E25" s="6" t="inlineStr">
        <is>
          <t>P0</t>
        </is>
      </c>
      <c r="F25" s="6" t="inlineStr">
        <is>
          <t>User là PM (pm_id) nhưng KHÔNG phải TP GP</t>
        </is>
      </c>
      <c r="G25" s="6" t="inlineStr">
        <is>
          <t>1. Click "Phân công"
2. Radio "Phân công PM" disabled, "Phân công Leader" enabled
3. Chọn Leader
4. Hoàn thành flow</t>
        </is>
      </c>
      <c r="H25" s="6" t="inlineStr"/>
      <c r="I25" s="6" t="inlineStr"/>
      <c r="J25" s="6" t="inlineStr">
        <is>
          <t>PM được phép phân công Leader thành công.
Log created_by = pm_id.</t>
        </is>
      </c>
      <c r="K25" s="6" t="inlineStr"/>
      <c r="L25" s="6" t="inlineStr">
        <is>
          <t>Not Executed</t>
        </is>
      </c>
      <c r="M25" s="6" t="inlineStr"/>
    </row>
    <row r="26">
      <c r="A26" s="4" t="n"/>
      <c r="B26" s="4" t="n"/>
      <c r="C26" s="5" t="inlineStr">
        <is>
          <t>4. VALIDATION &amp; EDGE CASES</t>
        </is>
      </c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</row>
    <row r="27">
      <c r="A27" s="6" t="inlineStr">
        <is>
          <t>Giao việc</t>
        </is>
      </c>
      <c r="B27" s="6" t="inlineStr">
        <is>
          <t>Phân công quản lý GP</t>
        </is>
      </c>
      <c r="C27" s="6" t="inlineStr">
        <is>
          <t>PCQL_004.001</t>
        </is>
      </c>
      <c r="D27" s="6" t="inlineStr">
        <is>
          <t>Validate ghi chú &lt; 50 ký tự</t>
        </is>
      </c>
      <c r="E27" s="6" t="inlineStr">
        <is>
          <t>P0</t>
        </is>
      </c>
      <c r="F27" s="6" t="inlineStr">
        <is>
          <t>User điền form phân công</t>
        </is>
      </c>
      <c r="G27" s="6" t="inlineStr">
        <is>
          <t>1. Nhập ghi chú chỉ 30 ký tự
2. Click Xác nhận</t>
        </is>
      </c>
      <c r="H27" s="6" t="inlineStr">
        <is>
          <t>Ghi chú: "Thay đổi PM" (10 chars)</t>
        </is>
      </c>
      <c r="I27" s="6" t="inlineStr"/>
      <c r="J27" s="6" t="inlineStr">
        <is>
          <t>Hiện lỗi: "Ghi chú phải có ít nhất 50 ký tự (hiện 10)".
Không submit.</t>
        </is>
      </c>
      <c r="K27" s="6" t="inlineStr"/>
      <c r="L27" s="6" t="inlineStr">
        <is>
          <t>Not Executed</t>
        </is>
      </c>
      <c r="M27" s="6" t="inlineStr"/>
    </row>
    <row r="28">
      <c r="A28" s="6" t="inlineStr">
        <is>
          <t>Giao việc</t>
        </is>
      </c>
      <c r="B28" s="6" t="inlineStr">
        <is>
          <t>Phân công quản lý GP</t>
        </is>
      </c>
      <c r="C28" s="6" t="inlineStr">
        <is>
          <t>PCQL_004.002</t>
        </is>
      </c>
      <c r="D28" s="6" t="inlineStr">
        <is>
          <t>Validate không chọn PM/Leader mới</t>
        </is>
      </c>
      <c r="E28" s="6" t="inlineStr">
        <is>
          <t>P0</t>
        </is>
      </c>
      <c r="F28" s="6" t="inlineStr">
        <is>
          <t>User điền form nhưng bỏ trống PM/Leader mới</t>
        </is>
      </c>
      <c r="G28" s="6" t="inlineStr">
        <is>
          <t>1. Chọn loại phân công
2. KHÔNG chọn người mới
3. Click Xác nhận</t>
        </is>
      </c>
      <c r="H28" s="6" t="inlineStr"/>
      <c r="I28" s="6" t="inlineStr"/>
      <c r="J28" s="6" t="inlineStr">
        <is>
          <t>Hiện lỗi: "Vui lòng chọn người mới".
Không submit.</t>
        </is>
      </c>
      <c r="K28" s="6" t="inlineStr"/>
      <c r="L28" s="6" t="inlineStr">
        <is>
          <t>Not Executed</t>
        </is>
      </c>
      <c r="M28" s="6" t="inlineStr"/>
    </row>
    <row r="29">
      <c r="A29" s="6" t="inlineStr">
        <is>
          <t>Giao việc</t>
        </is>
      </c>
      <c r="B29" s="6" t="inlineStr">
        <is>
          <t>Phân công quản lý GP</t>
        </is>
      </c>
      <c r="C29" s="6" t="inlineStr">
        <is>
          <t>PCQL_004.003</t>
        </is>
      </c>
      <c r="D29" s="6" t="inlineStr">
        <is>
          <t>Validate không chọn loại phân công</t>
        </is>
      </c>
      <c r="E29" s="6" t="inlineStr">
        <is>
          <t>P0</t>
        </is>
      </c>
      <c r="F29" s="6" t="inlineStr">
        <is>
          <t>User mở popup nhưng không chọn radio</t>
        </is>
      </c>
      <c r="G29" s="6" t="inlineStr">
        <is>
          <t>1. Mở popup
2. Không chọn loại
3. Click Xác nhận</t>
        </is>
      </c>
      <c r="H29" s="6" t="inlineStr"/>
      <c r="I29" s="6" t="inlineStr"/>
      <c r="J29" s="6" t="inlineStr">
        <is>
          <t>Hiện lỗi: "Vui lòng chọn loại phân công".
Không submit.</t>
        </is>
      </c>
      <c r="K29" s="6" t="inlineStr"/>
      <c r="L29" s="6" t="inlineStr">
        <is>
          <t>Not Executed</t>
        </is>
      </c>
      <c r="M29" s="6" t="inlineStr"/>
    </row>
    <row r="30">
      <c r="A30" s="6" t="inlineStr">
        <is>
          <t>Giao việc</t>
        </is>
      </c>
      <c r="B30" s="6" t="inlineStr">
        <is>
          <t>Phân công quản lý GP</t>
        </is>
      </c>
      <c r="C30" s="6" t="inlineStr">
        <is>
          <t>PCQL_004.004</t>
        </is>
      </c>
      <c r="D30" s="6" t="inlineStr">
        <is>
          <t>Validate module cho PM cũ (khi GP có module + chọn vai trò)</t>
        </is>
      </c>
      <c r="E30" s="6" t="inlineStr">
        <is>
          <t>P0</t>
        </is>
      </c>
      <c r="F30" s="6" t="inlineStr">
        <is>
          <t>GP có module; User chọn type=pm + chọn vai trò mới</t>
        </is>
      </c>
      <c r="G30" s="6" t="inlineStr">
        <is>
          <t>1. Chọn PM, chọn vai trò mới
2. Select "Module cho PM cũ" hiện
3. KHÔNG chọn module
4. Click Xác nhận</t>
        </is>
      </c>
      <c r="H30" s="6" t="inlineStr">
        <is>
          <t>GP có module</t>
        </is>
      </c>
      <c r="I30" s="6" t="inlineStr"/>
      <c r="J30" s="6" t="inlineStr">
        <is>
          <t>Hiện lỗi: "Vui lòng chọn hạng mục cho PM cũ".
Không submit.</t>
        </is>
      </c>
      <c r="K30" s="6" t="inlineStr"/>
      <c r="L30" s="6" t="inlineStr">
        <is>
          <t>Not Executed</t>
        </is>
      </c>
      <c r="M30" s="6" t="inlineStr"/>
    </row>
    <row r="31">
      <c r="A31" s="6" t="inlineStr">
        <is>
          <t>Giao việc</t>
        </is>
      </c>
      <c r="B31" s="6" t="inlineStr">
        <is>
          <t>Phân công quản lý GP</t>
        </is>
      </c>
      <c r="C31" s="6" t="inlineStr">
        <is>
          <t>PCQL_004.005</t>
        </is>
      </c>
      <c r="D31" s="6" t="inlineStr">
        <is>
          <t>Validate hạng mục khi chọn Leader</t>
        </is>
      </c>
      <c r="E31" s="6" t="inlineStr">
        <is>
          <t>P0</t>
        </is>
      </c>
      <c r="F31" s="6" t="inlineStr">
        <is>
          <t>User chọn type=leader</t>
        </is>
      </c>
      <c r="G31" s="6" t="inlineStr">
        <is>
          <t>1. Chọn "Phân công Leader"
2. KHÔNG chọn hạng mục
3. Click Xác nhận</t>
        </is>
      </c>
      <c r="H31" s="6" t="inlineStr"/>
      <c r="I31" s="6" t="inlineStr"/>
      <c r="J31" s="6" t="inlineStr">
        <is>
          <t>Hiện lỗi: "Vui lòng chọn hạng mục".
Không submit.</t>
        </is>
      </c>
      <c r="K31" s="6" t="inlineStr"/>
      <c r="L31" s="6" t="inlineStr">
        <is>
          <t>Not Executed</t>
        </is>
      </c>
      <c r="M31" s="6" t="inlineStr"/>
    </row>
    <row r="32">
      <c r="A32" s="6" t="inlineStr">
        <is>
          <t>Giao việc</t>
        </is>
      </c>
      <c r="B32" s="6" t="inlineStr">
        <is>
          <t>Phân công quản lý GP</t>
        </is>
      </c>
      <c r="C32" s="6" t="inlineStr">
        <is>
          <t>PCQL_004.006</t>
        </is>
      </c>
      <c r="D32" s="6" t="inlineStr">
        <is>
          <t>Confirm popup trước submit</t>
        </is>
      </c>
      <c r="E32" s="6" t="inlineStr">
        <is>
          <t>P0</t>
        </is>
      </c>
      <c r="F32" s="6" t="inlineStr">
        <is>
          <t>User điền form hợp lệ</t>
        </is>
      </c>
      <c r="G32" s="6" t="inlineStr">
        <is>
          <t>1. Điền đầy đủ form
2. Click "Xác nhận phân công"
3. Confirm popup hiện
4. Click "Huỷ"</t>
        </is>
      </c>
      <c r="H32" s="6" t="inlineStr"/>
      <c r="I32" s="6" t="inlineStr"/>
      <c r="J32" s="6" t="inlineStr">
        <is>
          <t>Không gọi API.
Modal phân công vẫn mở, dữ liệu form giữ nguyên.</t>
        </is>
      </c>
      <c r="K32" s="6" t="inlineStr"/>
      <c r="L32" s="6" t="inlineStr">
        <is>
          <t>Not Executed</t>
        </is>
      </c>
      <c r="M32" s="6" t="inlineStr"/>
    </row>
    <row r="33">
      <c r="A33" s="6" t="inlineStr">
        <is>
          <t>Giao việc</t>
        </is>
      </c>
      <c r="B33" s="6" t="inlineStr">
        <is>
          <t>Phân công quản lý GP</t>
        </is>
      </c>
      <c r="C33" s="6" t="inlineStr">
        <is>
          <t>PCQL_004.007</t>
        </is>
      </c>
      <c r="D33" s="6" t="inlineStr">
        <is>
          <t>DS chọn chỉ hiện NV c��ng phòng</t>
        </is>
      </c>
      <c r="E33" s="6" t="inlineStr">
        <is>
          <t>P1</t>
        </is>
      </c>
      <c r="F33" s="6" t="inlineStr">
        <is>
          <t>GP thuộc phòng A; C�� NV phòng A + phòng B</t>
        </is>
      </c>
      <c r="G33" s="6" t="inlineStr">
        <is>
          <t>1. Mở popup phân công
2. Xem dropdown PM/Leader mới</t>
        </is>
      </c>
      <c r="H33" s="6" t="inlineStr">
        <is>
          <t>GP.department_id = phòng A</t>
        </is>
      </c>
      <c r="I33" s="6" t="inlineStr"/>
      <c r="J33" s="6" t="inlineStr">
        <is>
          <t>Chỉ hiện NV thuộc phòng A.
Không hiện NV phòng B.
Không hiện PM/Leader hiện tại trong dropdown.</t>
        </is>
      </c>
      <c r="K33" s="6" t="inlineStr"/>
      <c r="L33" s="6" t="inlineStr">
        <is>
          <t>Not Executed</t>
        </is>
      </c>
      <c r="M33" s="6" t="inlineStr"/>
    </row>
    <row r="34">
      <c r="A34" s="6" t="inlineStr">
        <is>
          <t>Giao việc</t>
        </is>
      </c>
      <c r="B34" s="6" t="inlineStr">
        <is>
          <t>Phân công quản lý GP</t>
        </is>
      </c>
      <c r="C34" s="6" t="inlineStr">
        <is>
          <t>PCQL_004.008</t>
        </is>
      </c>
      <c r="D34" s="6" t="inlineStr">
        <is>
          <t>GP tr���ng thái Đóng — API reject</t>
        </is>
      </c>
      <c r="E34" s="6" t="inlineStr">
        <is>
          <t>P1</t>
        </is>
      </c>
      <c r="F34" s="6" t="inlineStr">
        <is>
          <t>GP status = 2; Gọi API trực tiếp (bypass FE)</t>
        </is>
      </c>
      <c r="G34" s="6" t="inlineStr">
        <is>
          <t>1. POST /assign-manager v��i solution_id GP đã đóng</t>
        </is>
      </c>
      <c r="H34" s="6" t="inlineStr">
        <is>
          <t>GP status=2</t>
        </is>
      </c>
      <c r="I34" s="6" t="inlineStr"/>
      <c r="J34" s="6" t="inlineStr">
        <is>
          <t>Response 422: "Giải pháp đã đóng, không thể phân công."</t>
        </is>
      </c>
      <c r="K34" s="6" t="inlineStr"/>
      <c r="L34" s="6" t="inlineStr">
        <is>
          <t>Not Executed</t>
        </is>
      </c>
      <c r="M34" s="6" t="inlineStr"/>
    </row>
    <row r="35">
      <c r="A35" s="4" t="n"/>
      <c r="B35" s="4" t="n"/>
      <c r="C35" s="5" t="inlineStr">
        <is>
          <t>5. LỊCH SỬ PHÂN CÔNG</t>
        </is>
      </c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</row>
    <row r="36">
      <c r="A36" s="6" t="inlineStr">
        <is>
          <t>Giao việc</t>
        </is>
      </c>
      <c r="B36" s="6" t="inlineStr">
        <is>
          <t>Phân công quản lý GP</t>
        </is>
      </c>
      <c r="C36" s="6" t="inlineStr">
        <is>
          <t>PCQL_005.001</t>
        </is>
      </c>
      <c r="D36" s="6" t="inlineStr">
        <is>
          <t>Xem lịch sử — có dữ liệu</t>
        </is>
      </c>
      <c r="E36" s="6" t="inlineStr">
        <is>
          <t>P1</t>
        </is>
      </c>
      <c r="F36" s="6" t="inlineStr">
        <is>
          <t>GP đã có ít nhất 1 lần phân công</t>
        </is>
      </c>
      <c r="G36" s="6" t="inlineStr">
        <is>
          <t>1. Click "Xem lịch sử phân công"
2. Quan sát bảng</t>
        </is>
      </c>
      <c r="H36" s="6" t="inlineStr"/>
      <c r="I36" s="6" t="inlineStr"/>
      <c r="J36" s="6" t="inlineStr">
        <is>
          <t>Bảng hiện đầy đủ 8 cột.
Dữ liệu sort mới nhất lên trên (created_at DESC).
Cột "Người cũ", "Người mới", "Người thực hiện" hiện tên đầy đủ.</t>
        </is>
      </c>
      <c r="K36" s="6" t="inlineStr"/>
      <c r="L36" s="6" t="inlineStr">
        <is>
          <t>Not Executed</t>
        </is>
      </c>
      <c r="M36" s="6" t="inlineStr"/>
    </row>
    <row r="37">
      <c r="A37" s="6" t="inlineStr">
        <is>
          <t>Giao việc</t>
        </is>
      </c>
      <c r="B37" s="6" t="inlineStr">
        <is>
          <t>Phân công quản lý GP</t>
        </is>
      </c>
      <c r="C37" s="6" t="inlineStr">
        <is>
          <t>PCQL_005.002</t>
        </is>
      </c>
      <c r="D37" s="6" t="inlineStr">
        <is>
          <t>Xem lịch sử — không có dữ liệu</t>
        </is>
      </c>
      <c r="E37" s="6" t="inlineStr">
        <is>
          <t>P2</t>
        </is>
      </c>
      <c r="F37" s="6" t="inlineStr">
        <is>
          <t>GP chưa t���ng phân công</t>
        </is>
      </c>
      <c r="G37" s="6" t="inlineStr">
        <is>
          <t>1. Click "Xem lịch sử"
2. Quan sát popup</t>
        </is>
      </c>
      <c r="H37" s="6" t="inlineStr"/>
      <c r="I37" s="6" t="inlineStr"/>
      <c r="J37" s="6" t="inlineStr">
        <is>
          <t>Hiện text: "Chưa có lịch sử phân công."</t>
        </is>
      </c>
      <c r="K37" s="6" t="inlineStr"/>
      <c r="L37" s="6" t="inlineStr">
        <is>
          <t>Not Executed</t>
        </is>
      </c>
      <c r="M37" s="6" t="inlineStr"/>
    </row>
    <row r="38">
      <c r="A38" s="6" t="inlineStr">
        <is>
          <t>Giao việc</t>
        </is>
      </c>
      <c r="B38" s="6" t="inlineStr">
        <is>
          <t>Phân công quản lý GP</t>
        </is>
      </c>
      <c r="C38" s="6" t="inlineStr">
        <is>
          <t>PCQL_005.003</t>
        </is>
      </c>
      <c r="D38" s="6" t="inlineStr">
        <is>
          <t>Lịch sử — phân biệt PM vs Leader</t>
        </is>
      </c>
      <c r="E38" s="6" t="inlineStr">
        <is>
          <t>P1</t>
        </is>
      </c>
      <c r="F38" s="6" t="inlineStr">
        <is>
          <t>GP có cả log phân công PM và Leader</t>
        </is>
      </c>
      <c r="G38" s="6" t="inlineStr">
        <is>
          <t>1. Xem lịch sử
2. Quan sát cột "Loại"</t>
        </is>
      </c>
      <c r="H38" s="6" t="inlineStr"/>
      <c r="I38" s="6" t="inlineStr"/>
      <c r="J38" s="6" t="inlineStr">
        <is>
          <t>Log PM: badge "Phân công PM" (xanh info).
Log Leader: badge "Phân công Leader" (vàng warning).
Log Leader có cột "Hạng mục" hiện tên, log PM cột này trống.</t>
        </is>
      </c>
      <c r="K38" s="6" t="inlineStr"/>
      <c r="L38" s="6" t="inlineStr">
        <is>
          <t>Not Executed</t>
        </is>
      </c>
      <c r="M38" s="6" t="inlineStr"/>
    </row>
    <row r="39">
      <c r="A39" s="6" t="inlineStr">
        <is>
          <t>Giao việc</t>
        </is>
      </c>
      <c r="B39" s="6" t="inlineStr">
        <is>
          <t>Phân công quản lý GP</t>
        </is>
      </c>
      <c r="C39" s="6" t="inlineStr">
        <is>
          <t>PCQL_005.004</t>
        </is>
      </c>
      <c r="D39" s="6" t="inlineStr">
        <is>
          <t>Lịch sử — vai trò mới hiển thị</t>
        </is>
      </c>
      <c r="E39" s="6" t="inlineStr">
        <is>
          <t>P1</t>
        </is>
      </c>
      <c r="F39" s="6" t="inlineStr">
        <is>
          <t>Có log có vai trò mới + log không có</t>
        </is>
      </c>
      <c r="G39" s="6" t="inlineStr">
        <is>
          <t>1. Xem lịch sử
2. Quan sát cột "Vai trò mới (người cũ)"</t>
        </is>
      </c>
      <c r="H39" s="6" t="inlineStr"/>
      <c r="I39" s="6" t="inlineStr"/>
      <c r="J39" s="6" t="inlineStr">
        <is>
          <t>Nếu có vai trò: hiện tên role.
Nếu không có: hiện "Rời dự án".</t>
        </is>
      </c>
      <c r="K39" s="6" t="inlineStr"/>
      <c r="L39" s="6" t="inlineStr">
        <is>
          <t>Not Executed</t>
        </is>
      </c>
      <c r="M39" s="6" t="inlineStr"/>
    </row>
  </sheetData>
  <mergeCells count="7">
    <mergeCell ref="C35:M35"/>
    <mergeCell ref="F1:I1"/>
    <mergeCell ref="C26:M26"/>
    <mergeCell ref="C21:M21"/>
    <mergeCell ref="C7:M7"/>
    <mergeCell ref="C15:M15"/>
    <mergeCell ref="A1:E1"/>
  </mergeCells>
  <dataValidations count="1">
    <dataValidation sqref="L7:L40" showDropDown="0" showInputMessage="0" showErrorMessage="0" allowBlank="1" errorTitle="Giá trị không hợp lệ" error="Chọn giá trị hợp lệ" type="list">
      <formula1>"Passed,Failed,Pending,Not Executed"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2026-05-17T04:55:26Z</dcterms:created>
  <dcterms:modified xmlns:dcterms="http://purl.org/dc/terms/" xmlns:xsi="http://www.w3.org/2001/XMLSchema-instance" xsi:type="dcterms:W3CDTF">2026-05-17T04:55:26Z</dcterms:modified>
</cp:coreProperties>
</file>