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mDan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2"/>
    </font>
    <font>
      <name val="Times New Roman"/>
      <b val="1"/>
      <color rgb="FFFFFFFF"/>
      <sz val="15"/>
    </font>
    <font>
      <name val="Times New Roman"/>
      <b val="1"/>
      <color rgb="FFFFFFFF"/>
      <sz val="12"/>
    </font>
    <font>
      <name val="Times New Roman"/>
      <b val="1"/>
      <color rgb="FF1F4E79"/>
      <sz val="12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00FF00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cols>
    <col width="26.9" customWidth="1" min="1" max="1"/>
    <col width="27.1" customWidth="1" min="2" max="2"/>
    <col width="16" customWidth="1" min="3" max="3"/>
    <col width="26.6" customWidth="1" min="4" max="4"/>
    <col width="9" customWidth="1" min="5" max="5"/>
    <col width="22.8" customWidth="1" min="6" max="6"/>
    <col width="18.6" customWidth="1" min="7" max="7"/>
    <col width="22" customWidth="1" min="8" max="8"/>
    <col width="43.9" customWidth="1" min="9" max="9"/>
    <col width="41.6" customWidth="1" min="10" max="10"/>
    <col width="14" customWidth="1" min="11" max="11"/>
    <col width="14" customWidth="1" min="12" max="12"/>
    <col width="14" customWidth="1" min="13" max="13"/>
    <col width="20" customWidth="1" min="14" max="14"/>
    <col width="11" customWidth="1" min="15" max="15"/>
    <col width="11" customWidth="1" min="16" max="16"/>
    <col width="11" customWidth="1" min="17" max="17"/>
  </cols>
  <sheetData>
    <row r="1" ht="22" customHeight="1">
      <c r="A1" s="1" t="inlineStr">
        <is>
          <t>MÔ TẢ TÍNH NĂNG (đọc trước khi xem testcase)</t>
        </is>
      </c>
    </row>
    <row r="2" ht="49" customHeight="1">
      <c r="A2" s="2" t="inlineStr">
        <is>
          <t>1. Mục đích tính năng</t>
        </is>
      </c>
      <c r="B2" s="3" t="inlineStr">
        <is>
          <t>Cho phép người phụ trách điểm danh từng thành viên tham dự cuộc họp (nội bộ + khách hàng) tại tab 'Điểm danh' của màn Chi tiết/Sửa meeting.
Điểm danh đầy đủ là điều kiện bắt buộc trước khi hoàn thành cuộc họp.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5" t="n"/>
    </row>
    <row r="3" ht="83" customHeight="1">
      <c r="A3" s="2" t="inlineStr">
        <is>
          <t>2. Đối tượng được hiển thị</t>
        </is>
      </c>
      <c r="B3" s="3" t="inlineStr">
        <is>
          <t>► Thành viên Nội bộ — lấy từ khối 'Thành phần — Phía Công ty', gắn nhãn 'Nội bộ'.
► Thành viên Khách hàng — lấy từ khối 'Thành phần — Phía Khách hàng', gắn nhãn 'Khách hàng' (chỉ có khi loại họp có khách hàng).
► Trạng thái điểm danh mỗi người: 'Dự kiến tham gia' (mặc định), 'Có mặt', 'Vắng có lý do', 'Vắng không lý do'.
► Mỗi dòng gồm: STT, Họ và tên, Chức vụ / Phòng ban, Thành phần, Trạng thái điểm danh, Ghi chú / Lý do.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5" t="n"/>
    </row>
    <row r="4" ht="49" customHeight="1">
      <c r="A4" s="2" t="inlineStr">
        <is>
          <t>3. Đối tượng bị ẩn / không hiển thị</t>
        </is>
      </c>
      <c r="B4" s="3" t="inlineStr">
        <is>
          <t>► Cuộc họp chưa có thành viên nào: hiển thị 'Chưa có thành viên nào để điểm danh', không hiện bảng.
► Cuộc họp nội bộ: tab Điểm danh không liệt kê khách hàng (vì không có khối khách hàng).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5" t="n"/>
    </row>
    <row r="5" ht="45" customHeight="1">
      <c r="A5" s="2" t="inlineStr">
        <is>
          <t>4. Bộ lọc thời gian áp dụng cho</t>
        </is>
      </c>
      <c r="B5" s="3" t="inlineStr">
        <is>
          <t>— Không áp dụng. Tab Điểm danh không có bộ lọc.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5" t="n"/>
    </row>
    <row r="6" ht="49" customHeight="1">
      <c r="A6" s="2" t="inlineStr">
        <is>
          <t>5. Cấu trúc dữ liệu</t>
        </is>
      </c>
      <c r="B6" s="3" t="inlineStr">
        <is>
          <t>► Danh sách điểm danh dựng từ danh sách người tham gia đã khai ở tab Thông tin: nội bộ trước, khách hàng sau.
► Mỗi người lưu kèm trạng thái điểm danh và ghi chú/lý do riêng.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5" t="n"/>
    </row>
    <row r="7" ht="49" customHeight="1">
      <c r="A7" s="2" t="inlineStr">
        <is>
          <t>6. Quy tắc điền mặc định</t>
        </is>
      </c>
      <c r="B7" s="3" t="inlineStr">
        <is>
          <t>► Người chưa điểm danh mặc định là 'Dự kiến tham gia'.
► Ghi chú/Lý do để trống nếu không nhập.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5" t="n"/>
    </row>
    <row r="8" ht="83" customHeight="1">
      <c r="A8" s="2" t="inlineStr">
        <is>
          <t>7. Phân quyền</t>
        </is>
      </c>
      <c r="B8" s="3" t="inlineStr">
        <is>
          <t>— Không có quyền riêng cho tab Điểm danh. Quyền điểm danh đi kèm quyền SỬA meeting.
► Chỉ điểm danh được khi đang ở màn Sửa VÀ cuộc họp ở trạng thái 'Đã chốt lịch'.
► Các trạng thái khác ('Lưu nháp', 'Lên lịch hẹn', 'Đã hoàn thành', 'Huỷ') hoặc màn Xem → chỉ đọc.
► Nhóm quyền 'Quản lý meeting' chỉ có quyền xem theo cấp: tổng công ty / công ty / phòng ban / bộ phận.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5" t="n"/>
    </row>
    <row r="9" ht="49" customHeight="1">
      <c r="A9" s="2" t="inlineStr">
        <is>
          <t>8. Cách tính các ô thống kê</t>
        </is>
      </c>
      <c r="B9" s="3" t="inlineStr">
        <is>
          <t>— Không có ô thống kê dạng số.
► 'Điểm danh đầy đủ' = không còn ai ở trạng thái 'Dự kiến tham gia' (mọi người đã ở 'Có mặt' hoặc 'Vắng có lý do' hoặc 'Vắng không lý do').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5" t="n"/>
    </row>
    <row r="10" ht="66" customHeight="1">
      <c r="A10" s="2" t="inlineStr">
        <is>
          <t>9. Ghi chú đọc bảng</t>
        </is>
      </c>
      <c r="B10" s="3" t="inlineStr">
        <is>
          <t>► Bẫy hay gặp: điểm danh chỉ mở khi cuộc họp 'Đã chốt lịch' và đang ở màn Sửa — ở màn Xem hay trạng thái khác chỉ đọc.
► Muốn hoàn thành cuộc họp phải: (1) đã có biên bản, (2) điểm danh đầy đủ. Thiếu biên bản hệ thống chuyển sang tab Biên bản; thiếu điểm danh chuyển sang tab Điểm danh.
► Điểm danh của mỗi người độc lập; chọn người này không ảnh hưởng người khác.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5" t="n"/>
    </row>
    <row r="11" ht="24" customHeight="1">
      <c r="A11" s="6" t="inlineStr">
        <is>
          <t>Testcase _ Điểm danh thành viên Meeting</t>
        </is>
      </c>
      <c r="F11" s="7" t="inlineStr">
        <is>
          <t>TEST SUMMARY</t>
        </is>
      </c>
      <c r="I11" s="8" t="inlineStr">
        <is>
          <t>Số trường hợp DNS kiểm thử đạt (P):</t>
        </is>
      </c>
      <c r="K11" s="9">
        <f>COUNTIF(K18:M1000,"Passed")</f>
        <v/>
      </c>
      <c r="L11" s="5" t="n"/>
      <c r="M11" s="10" t="inlineStr">
        <is>
          <t>Số trường hợp TP kiểm thử đạt (P):</t>
        </is>
      </c>
      <c r="O11" s="11">
        <f>COUNTIF(O18:Q1000,"P")</f>
        <v/>
      </c>
      <c r="P11" s="4" t="n"/>
      <c r="Q11" s="5" t="n"/>
    </row>
    <row r="12" ht="24" customHeight="1">
      <c r="I12" s="8" t="inlineStr">
        <is>
          <t>Số trường hợp DNS kiểm thử không đạt (F)</t>
        </is>
      </c>
      <c r="K12" s="9">
        <f>COUNTIF(K18:M1000,"Failed")</f>
        <v/>
      </c>
      <c r="L12" s="5" t="n"/>
      <c r="M12" s="10" t="inlineStr">
        <is>
          <t>Số trường hợp TP kiểm thử không đạt (F)</t>
        </is>
      </c>
      <c r="O12" s="11">
        <f>COUNTIF(O18:Q1000,"F")</f>
        <v/>
      </c>
      <c r="P12" s="4" t="n"/>
      <c r="Q12" s="5" t="n"/>
    </row>
    <row r="13" ht="24" customHeight="1">
      <c r="I13" s="8" t="inlineStr">
        <is>
          <t>Số trường hợp DNS kiểm thử đang xem xét (PE)</t>
        </is>
      </c>
      <c r="K13" s="9">
        <f>COUNTIF(K18:M1000,"Pending")</f>
        <v/>
      </c>
      <c r="L13" s="5" t="n"/>
      <c r="M13" s="10" t="inlineStr">
        <is>
          <t>Số trường hợp TP kiểm thử đang xem xét (PE)</t>
        </is>
      </c>
      <c r="O13" s="11">
        <f>COUNTIF(O18:Q1000,"PE")</f>
        <v/>
      </c>
      <c r="P13" s="4" t="n"/>
      <c r="Q13" s="5" t="n"/>
    </row>
    <row r="14" ht="24" customHeight="1">
      <c r="I14" s="8" t="inlineStr">
        <is>
          <t>Số trường hợp DNS kiểm thử chưa thực hiện</t>
        </is>
      </c>
      <c r="K14" s="9">
        <f>COUNTIF(K18:K1000,"Not Executed")</f>
        <v/>
      </c>
      <c r="L14" s="5" t="n"/>
      <c r="M14" s="10" t="inlineStr">
        <is>
          <t>Số trường hợp TP kiểm thử chưa thực hiện</t>
        </is>
      </c>
      <c r="O14" s="11">
        <f>COUNTIF(O18:O1000,"")</f>
        <v/>
      </c>
      <c r="P14" s="4" t="n"/>
      <c r="Q14" s="5" t="n"/>
    </row>
    <row r="15" ht="24" customHeight="1">
      <c r="I15" s="8" t="inlineStr">
        <is>
          <t>Tổng số trường hợp DNS kiểm thử</t>
        </is>
      </c>
      <c r="K15" s="9">
        <f>COUNTIF(K18:K1000,"&lt;&gt;")</f>
        <v/>
      </c>
      <c r="L15" s="5" t="n"/>
      <c r="M15" s="10" t="inlineStr">
        <is>
          <t>Tổng số trường hợp TP kiểm thử</t>
        </is>
      </c>
      <c r="O15" s="11">
        <f>COUNTIF(C18:C1000,"TC*")</f>
        <v/>
      </c>
      <c r="P15" s="4" t="n"/>
      <c r="Q15" s="5" t="n"/>
    </row>
    <row r="16" ht="8" customHeight="1"/>
    <row r="17" ht="40" customHeight="1">
      <c r="A17" s="12" t="inlineStr">
        <is>
          <t>Module</t>
        </is>
      </c>
      <c r="B17" s="12" t="inlineStr">
        <is>
          <t>Nhóm chức năng</t>
        </is>
      </c>
      <c r="C17" s="12" t="inlineStr">
        <is>
          <t>TC ID</t>
        </is>
      </c>
      <c r="D17" s="12" t="inlineStr">
        <is>
          <t>Chức năng</t>
        </is>
      </c>
      <c r="E17" s="12" t="inlineStr">
        <is>
          <t>Priority</t>
        </is>
      </c>
      <c r="F17" s="12" t="inlineStr">
        <is>
          <t>Tiền điều kiện</t>
        </is>
      </c>
      <c r="G17" s="12" t="inlineStr">
        <is>
          <t>Bước thực hiện</t>
        </is>
      </c>
      <c r="H17" s="12" t="inlineStr">
        <is>
          <t>Test Data</t>
        </is>
      </c>
      <c r="I17" s="12" t="inlineStr">
        <is>
          <t>Expected Result (chi tiết)</t>
        </is>
      </c>
      <c r="J17" s="12" t="inlineStr">
        <is>
          <t>KQ thực tế</t>
        </is>
      </c>
      <c r="K17" s="12" t="inlineStr">
        <is>
          <t>DNS check lần 1</t>
        </is>
      </c>
      <c r="L17" s="12" t="inlineStr">
        <is>
          <t>DNS check lần 2</t>
        </is>
      </c>
      <c r="M17" s="12" t="inlineStr">
        <is>
          <t>DNS check lần 3</t>
        </is>
      </c>
      <c r="N17" s="12" t="inlineStr">
        <is>
          <t>Ghi chú</t>
        </is>
      </c>
      <c r="O17" s="12" t="inlineStr">
        <is>
          <t>TP check lần 1</t>
        </is>
      </c>
      <c r="P17" s="12" t="inlineStr">
        <is>
          <t>TP check lần 2</t>
        </is>
      </c>
      <c r="Q17" s="12" t="inlineStr">
        <is>
          <t>TP check lần 3</t>
        </is>
      </c>
    </row>
    <row r="18" ht="26" customHeight="1">
      <c r="A18" s="13" t="n"/>
      <c r="B18" s="13" t="n"/>
      <c r="C18" s="14" t="inlineStr">
        <is>
          <t>Phân quyền &amp; truy cập</t>
        </is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5" t="n"/>
    </row>
    <row r="19" ht="34" customHeight="1">
      <c r="A19" s="15" t="inlineStr">
        <is>
          <t>Điểm danh Meeting</t>
        </is>
      </c>
      <c r="B19" s="15" t="inlineStr">
        <is>
          <t>Phân quyền &amp; truy cập</t>
        </is>
      </c>
      <c r="C19" s="16" t="inlineStr">
        <is>
          <t>TC-ROLE-01</t>
        </is>
      </c>
      <c r="D19" s="15" t="inlineStr">
        <is>
          <t>Được điểm danh khi Sửa cuộc họp 'Đã chốt lịch'</t>
        </is>
      </c>
      <c r="E19" s="16" t="inlineStr">
        <is>
          <t>P0</t>
        </is>
      </c>
      <c r="F19" s="15" t="inlineStr">
        <is>
          <t>Tài khoản có quyền vào màn Quản lý meeting; cuộc họp ở trạng thái 'Đã chốt lịch'</t>
        </is>
      </c>
      <c r="G19" s="15" t="inlineStr">
        <is>
          <t>1. Mở Sửa cuộc họp 'Đã chốt lịch'
2. Vào tab Điểm danh</t>
        </is>
      </c>
      <c r="H19" s="15" t="inlineStr">
        <is>
          <t>Trạng thái: Đã chốt lịch</t>
        </is>
      </c>
      <c r="I19" s="15" t="inlineStr">
        <is>
          <t>- Cho phép chọn trạng thái điểm danh và nhập ghi chú cho từng người</t>
        </is>
      </c>
      <c r="J19" s="15" t="inlineStr"/>
      <c r="K19" s="16" t="inlineStr">
        <is>
          <t>Not Executed</t>
        </is>
      </c>
      <c r="L19" s="16" t="inlineStr">
        <is>
          <t>Not Executed</t>
        </is>
      </c>
      <c r="M19" s="16" t="inlineStr">
        <is>
          <t>Not Executed</t>
        </is>
      </c>
      <c r="N19" s="15" t="inlineStr"/>
      <c r="O19" s="16" t="inlineStr"/>
      <c r="P19" s="16" t="inlineStr"/>
      <c r="Q19" s="16" t="inlineStr"/>
    </row>
    <row r="20" ht="34" customHeight="1">
      <c r="A20" s="15" t="inlineStr">
        <is>
          <t>Điểm danh Meeting</t>
        </is>
      </c>
      <c r="B20" s="15" t="inlineStr">
        <is>
          <t>Phân quyền &amp; truy cập</t>
        </is>
      </c>
      <c r="C20" s="16" t="inlineStr">
        <is>
          <t>TC-ROLE-02</t>
        </is>
      </c>
      <c r="D20" s="15" t="inlineStr">
        <is>
          <t>Chỉ đọc khi mở ở màn Xem chi tiết</t>
        </is>
      </c>
      <c r="E20" s="16" t="inlineStr">
        <is>
          <t>P0</t>
        </is>
      </c>
      <c r="F20" s="15" t="inlineStr">
        <is>
          <t>Cuộc họp 'Đã chốt lịch', mở màn Xem</t>
        </is>
      </c>
      <c r="G20" s="15" t="inlineStr">
        <is>
          <t>1. Mở Chi tiết cuộc họp (không phải Sửa)
2. Vào tab Điểm danh</t>
        </is>
      </c>
      <c r="H20" s="15" t="inlineStr">
        <is>
          <t>Màn: Xem chi tiết</t>
        </is>
      </c>
      <c r="I20" s="15" t="inlineStr">
        <is>
          <t>- Không cho chọn trạng thái/nhập ghi chú; chỉ hiển thị trạng thái điểm danh dạng chữ</t>
        </is>
      </c>
      <c r="J20" s="15" t="inlineStr"/>
      <c r="K20" s="16" t="inlineStr">
        <is>
          <t>Not Executed</t>
        </is>
      </c>
      <c r="L20" s="16" t="inlineStr">
        <is>
          <t>Not Executed</t>
        </is>
      </c>
      <c r="M20" s="16" t="inlineStr">
        <is>
          <t>Not Executed</t>
        </is>
      </c>
      <c r="N20" s="15" t="inlineStr"/>
      <c r="O20" s="16" t="inlineStr"/>
      <c r="P20" s="16" t="inlineStr"/>
      <c r="Q20" s="16" t="inlineStr"/>
    </row>
    <row r="21" ht="34" customHeight="1">
      <c r="A21" s="15" t="inlineStr">
        <is>
          <t>Điểm danh Meeting</t>
        </is>
      </c>
      <c r="B21" s="15" t="inlineStr">
        <is>
          <t>Phân quyền &amp; truy cập</t>
        </is>
      </c>
      <c r="C21" s="16" t="inlineStr">
        <is>
          <t>TC-ROLE-03</t>
        </is>
      </c>
      <c r="D21" s="15" t="inlineStr">
        <is>
          <t>Không có quyền nào trong nhóm Quản lý meeting → không vào được</t>
        </is>
      </c>
      <c r="E21" s="16" t="inlineStr">
        <is>
          <t>P1</t>
        </is>
      </c>
      <c r="F21" s="15" t="inlineStr">
        <is>
          <t>Tài khoản không có quyền 'Xem danh sách meeting…' nào</t>
        </is>
      </c>
      <c r="G21" s="15" t="inlineStr">
        <is>
          <t>1. Đăng nhập
2. Tìm menu Quản lý meeting</t>
        </is>
      </c>
      <c r="H21" s="15" t="inlineStr">
        <is>
          <t>Quyền: (không có)</t>
        </is>
      </c>
      <c r="I21" s="15" t="inlineStr">
        <is>
          <t>- Không vào được menu, không điểm danh được cuộc họp nào</t>
        </is>
      </c>
      <c r="J21" s="15" t="inlineStr"/>
      <c r="K21" s="16" t="inlineStr">
        <is>
          <t>Not Executed</t>
        </is>
      </c>
      <c r="L21" s="16" t="inlineStr">
        <is>
          <t>Not Executed</t>
        </is>
      </c>
      <c r="M21" s="16" t="inlineStr">
        <is>
          <t>Not Executed</t>
        </is>
      </c>
      <c r="N21" s="15" t="inlineStr"/>
      <c r="O21" s="16" t="inlineStr"/>
      <c r="P21" s="16" t="inlineStr"/>
      <c r="Q21" s="16" t="inlineStr"/>
    </row>
    <row r="22" ht="26" customHeight="1">
      <c r="A22" s="13" t="n"/>
      <c r="B22" s="13" t="n"/>
      <c r="C22" s="14" t="inlineStr">
        <is>
          <t>I. HIỂN THỊ TAB ĐIỂM DANH &amp; DANH SÁCH</t>
        </is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5" t="n"/>
    </row>
    <row r="23" ht="36" customHeight="1">
      <c r="A23" s="15" t="inlineStr">
        <is>
          <t>Điểm danh Meeting</t>
        </is>
      </c>
      <c r="B23" s="15" t="inlineStr">
        <is>
          <t>HIỂN THỊ TAB ĐIỂM DANH &amp; DANH SÁCH</t>
        </is>
      </c>
      <c r="C23" s="16" t="inlineStr">
        <is>
          <t>TC_01.001</t>
        </is>
      </c>
      <c r="D23" s="15" t="inlineStr">
        <is>
          <t>Mở tab 'Điểm danh' từ màn chi tiết</t>
        </is>
      </c>
      <c r="E23" s="16" t="inlineStr">
        <is>
          <t>P0</t>
        </is>
      </c>
      <c r="F23" s="15" t="inlineStr">
        <is>
          <t>Cuộc họp có 2 thành viên nội bộ + 1 khách hàng</t>
        </is>
      </c>
      <c r="G23" s="15" t="inlineStr">
        <is>
          <t>1. Mở Chi tiết cuộc họp
2. Bấm tab 'Điểm danh'</t>
        </is>
      </c>
      <c r="H23" s="15" t="inlineStr">
        <is>
          <t>2 nội bộ + 1 khách hàng</t>
        </is>
      </c>
      <c r="I23" s="15" t="inlineStr">
        <is>
          <t>- Hiển thị tiêu đề 'Điểm danh thành viên'
- Bảng liệt kê đủ 3 người: nội bộ trước, khách hàng sau; STT 1,2,3</t>
        </is>
      </c>
      <c r="J23" s="15" t="inlineStr"/>
      <c r="K23" s="16" t="inlineStr">
        <is>
          <t>Not Executed</t>
        </is>
      </c>
      <c r="L23" s="16" t="inlineStr">
        <is>
          <t>Not Executed</t>
        </is>
      </c>
      <c r="M23" s="16" t="inlineStr">
        <is>
          <t>Not Executed</t>
        </is>
      </c>
      <c r="N23" s="15" t="inlineStr"/>
      <c r="O23" s="16" t="inlineStr"/>
      <c r="P23" s="16" t="inlineStr"/>
      <c r="Q23" s="16" t="inlineStr"/>
    </row>
    <row r="24" ht="34" customHeight="1">
      <c r="A24" s="15" t="inlineStr">
        <is>
          <t>Điểm danh Meeting</t>
        </is>
      </c>
      <c r="B24" s="15" t="inlineStr">
        <is>
          <t>HIỂN THỊ TAB ĐIỂM DANH &amp; DANH SÁCH</t>
        </is>
      </c>
      <c r="C24" s="16" t="inlineStr">
        <is>
          <t>TC_01.002</t>
        </is>
      </c>
      <c r="D24" s="15" t="inlineStr">
        <is>
          <t>Hiển thị đủ 6 cột</t>
        </is>
      </c>
      <c r="E24" s="16" t="inlineStr">
        <is>
          <t>P1</t>
        </is>
      </c>
      <c r="F24" s="15" t="inlineStr">
        <is>
          <t>Cuộc họp có thành viên</t>
        </is>
      </c>
      <c r="G24" s="15" t="inlineStr">
        <is>
          <t>1. Mở tab Điểm danh
2. Quan sát tiêu đề cột</t>
        </is>
      </c>
      <c r="H24" s="15" t="inlineStr">
        <is>
          <t>—</t>
        </is>
      </c>
      <c r="I24" s="15" t="inlineStr">
        <is>
          <t>- Các cột: STT | Họ và tên | Chức vụ / Phòng ban | Thành phần | Trạng thái điểm danh | Ghi chú / Lý do</t>
        </is>
      </c>
      <c r="J24" s="15" t="inlineStr"/>
      <c r="K24" s="16" t="inlineStr">
        <is>
          <t>Not Executed</t>
        </is>
      </c>
      <c r="L24" s="16" t="inlineStr">
        <is>
          <t>Not Executed</t>
        </is>
      </c>
      <c r="M24" s="16" t="inlineStr">
        <is>
          <t>Not Executed</t>
        </is>
      </c>
      <c r="N24" s="15" t="inlineStr"/>
      <c r="O24" s="16" t="inlineStr"/>
      <c r="P24" s="16" t="inlineStr"/>
      <c r="Q24" s="16" t="inlineStr"/>
    </row>
    <row r="25" ht="34" customHeight="1">
      <c r="A25" s="15" t="inlineStr">
        <is>
          <t>Điểm danh Meeting</t>
        </is>
      </c>
      <c r="B25" s="15" t="inlineStr">
        <is>
          <t>HIỂN THỊ TAB ĐIỂM DANH &amp; DANH SÁCH</t>
        </is>
      </c>
      <c r="C25" s="16" t="inlineStr">
        <is>
          <t>TC_01.003</t>
        </is>
      </c>
      <c r="D25" s="15" t="inlineStr">
        <is>
          <t>Nhãn Thành phần đúng loại</t>
        </is>
      </c>
      <c r="E25" s="16" t="inlineStr">
        <is>
          <t>P1</t>
        </is>
      </c>
      <c r="F25" s="15" t="inlineStr">
        <is>
          <t>Cuộc họp có 1 nội bộ + 1 khách hàng</t>
        </is>
      </c>
      <c r="G25" s="15" t="inlineStr">
        <is>
          <t>1. Mở tab Điểm danh
2. Quan sát cột Thành phần</t>
        </is>
      </c>
      <c r="H25" s="15" t="inlineStr">
        <is>
          <t>—</t>
        </is>
      </c>
      <c r="I25" s="15" t="inlineStr">
        <is>
          <t>- Dòng nội bộ gắn nhãn 'Nội bộ'
- Dòng khách hàng gắn nhãn 'Khách hàng'</t>
        </is>
      </c>
      <c r="J25" s="15" t="inlineStr"/>
      <c r="K25" s="16" t="inlineStr">
        <is>
          <t>Not Executed</t>
        </is>
      </c>
      <c r="L25" s="16" t="inlineStr">
        <is>
          <t>Not Executed</t>
        </is>
      </c>
      <c r="M25" s="16" t="inlineStr">
        <is>
          <t>Not Executed</t>
        </is>
      </c>
      <c r="N25" s="15" t="inlineStr"/>
      <c r="O25" s="16" t="inlineStr"/>
      <c r="P25" s="16" t="inlineStr"/>
      <c r="Q25" s="16" t="inlineStr"/>
    </row>
    <row r="26" ht="34" customHeight="1">
      <c r="A26" s="15" t="inlineStr">
        <is>
          <t>Điểm danh Meeting</t>
        </is>
      </c>
      <c r="B26" s="15" t="inlineStr">
        <is>
          <t>HIỂN THỊ TAB ĐIỂM DANH &amp; DANH SÁCH</t>
        </is>
      </c>
      <c r="C26" s="16" t="inlineStr">
        <is>
          <t>TC_01.004</t>
        </is>
      </c>
      <c r="D26" s="15" t="inlineStr">
        <is>
          <t>Cuộc họp không có thành viên</t>
        </is>
      </c>
      <c r="E26" s="16" t="inlineStr">
        <is>
          <t>P1</t>
        </is>
      </c>
      <c r="F26" s="15" t="inlineStr">
        <is>
          <t>Cuộc họp chưa khai người tham gia</t>
        </is>
      </c>
      <c r="G26" s="15" t="inlineStr">
        <is>
          <t>1. Mở tab Điểm danh</t>
        </is>
      </c>
      <c r="H26" s="15" t="inlineStr">
        <is>
          <t>Không có thành viên</t>
        </is>
      </c>
      <c r="I26" s="15" t="inlineStr">
        <is>
          <t>- Hiển thị 'Chưa có thành viên nào để điểm danh', không hiện bảng</t>
        </is>
      </c>
      <c r="J26" s="15" t="inlineStr"/>
      <c r="K26" s="16" t="inlineStr">
        <is>
          <t>Not Executed</t>
        </is>
      </c>
      <c r="L26" s="16" t="inlineStr">
        <is>
          <t>Not Executed</t>
        </is>
      </c>
      <c r="M26" s="16" t="inlineStr">
        <is>
          <t>Not Executed</t>
        </is>
      </c>
      <c r="N26" s="15" t="inlineStr"/>
      <c r="O26" s="16" t="inlineStr"/>
      <c r="P26" s="16" t="inlineStr"/>
      <c r="Q26" s="16" t="inlineStr"/>
    </row>
    <row r="27" ht="34" customHeight="1">
      <c r="A27" s="15" t="inlineStr">
        <is>
          <t>Điểm danh Meeting</t>
        </is>
      </c>
      <c r="B27" s="15" t="inlineStr">
        <is>
          <t>HIỂN THỊ TAB ĐIỂM DANH &amp; DANH SÁCH</t>
        </is>
      </c>
      <c r="C27" s="16" t="inlineStr">
        <is>
          <t>TC_01.005</t>
        </is>
      </c>
      <c r="D27" s="15" t="inlineStr">
        <is>
          <t>Hiển thị tên &amp; chức vụ, thiếu thì '-'</t>
        </is>
      </c>
      <c r="E27" s="16" t="inlineStr">
        <is>
          <t>P2</t>
        </is>
      </c>
      <c r="F27" s="15" t="inlineStr">
        <is>
          <t>Có 1 thành viên thiếu chức vụ</t>
        </is>
      </c>
      <c r="G27" s="15" t="inlineStr">
        <is>
          <t>1. Mở tab Điểm danh
2. Quan sát dòng thiếu chức vụ</t>
        </is>
      </c>
      <c r="H27" s="15" t="inlineStr">
        <is>
          <t>Chức vụ: trống</t>
        </is>
      </c>
      <c r="I27" s="15" t="inlineStr">
        <is>
          <t>- Cột Họ và tên hiển thị đúng tên
- Cột Chức vụ / Phòng ban hiển thị '-'</t>
        </is>
      </c>
      <c r="J27" s="15" t="inlineStr"/>
      <c r="K27" s="16" t="inlineStr">
        <is>
          <t>Not Executed</t>
        </is>
      </c>
      <c r="L27" s="16" t="inlineStr">
        <is>
          <t>Not Executed</t>
        </is>
      </c>
      <c r="M27" s="16" t="inlineStr">
        <is>
          <t>Not Executed</t>
        </is>
      </c>
      <c r="N27" s="15" t="inlineStr"/>
      <c r="O27" s="16" t="inlineStr"/>
      <c r="P27" s="16" t="inlineStr"/>
      <c r="Q27" s="16" t="inlineStr"/>
    </row>
    <row r="28" ht="26" customHeight="1">
      <c r="A28" s="13" t="n"/>
      <c r="B28" s="13" t="n"/>
      <c r="C28" s="14" t="inlineStr">
        <is>
          <t>II. ĐIỀU KIỆN ĐƯỢC PHÉP ĐIỂM DANH</t>
        </is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5" t="n"/>
    </row>
    <row r="29" ht="47" customHeight="1">
      <c r="A29" s="15" t="inlineStr">
        <is>
          <t>Điểm danh Meeting</t>
        </is>
      </c>
      <c r="B29" s="15" t="inlineStr">
        <is>
          <t>ĐIỀU KIỆN ĐƯỢC PHÉP ĐIỂM DANH</t>
        </is>
      </c>
      <c r="C29" s="16" t="inlineStr">
        <is>
          <t>TC_02.001</t>
        </is>
      </c>
      <c r="D29" s="15" t="inlineStr">
        <is>
          <t>Cho điểm danh khi Sửa cuộc họp 'Đã chốt lịch'</t>
        </is>
      </c>
      <c r="E29" s="16" t="inlineStr">
        <is>
          <t>P0</t>
        </is>
      </c>
      <c r="F29" s="15" t="inlineStr">
        <is>
          <t>Cuộc họp 'Đã chốt lịch', mở màn Sửa</t>
        </is>
      </c>
      <c r="G29" s="15" t="inlineStr">
        <is>
          <t>1. Mở Sửa cuộc họp
2. Vào tab Điểm danh
3. Quan sát điều khiển</t>
        </is>
      </c>
      <c r="H29" s="15" t="inlineStr">
        <is>
          <t>Trạng thái: Đã chốt lịch</t>
        </is>
      </c>
      <c r="I29" s="15" t="inlineStr">
        <is>
          <t>- Mỗi dòng có cụm chọn trạng thái: 'Có mặt', 'Vắng có lý do', 'Vắng không lý do'
- Ô Ghi chú cho nhập
- Có nút 'Điểm danh nhanh: Tất cả có mặt'</t>
        </is>
      </c>
      <c r="J29" s="15" t="inlineStr"/>
      <c r="K29" s="16" t="inlineStr">
        <is>
          <t>Not Executed</t>
        </is>
      </c>
      <c r="L29" s="16" t="inlineStr">
        <is>
          <t>Not Executed</t>
        </is>
      </c>
      <c r="M29" s="16" t="inlineStr">
        <is>
          <t>Not Executed</t>
        </is>
      </c>
      <c r="N29" s="15" t="inlineStr"/>
      <c r="O29" s="16" t="inlineStr"/>
      <c r="P29" s="16" t="inlineStr"/>
      <c r="Q29" s="16" t="inlineStr"/>
    </row>
    <row r="30" ht="40" customHeight="1">
      <c r="A30" s="15" t="inlineStr">
        <is>
          <t>Điểm danh Meeting</t>
        </is>
      </c>
      <c r="B30" s="15" t="inlineStr">
        <is>
          <t>ĐIỀU KIỆN ĐƯỢC PHÉP ĐIỂM DANH</t>
        </is>
      </c>
      <c r="C30" s="16" t="inlineStr">
        <is>
          <t>TC_02.002</t>
        </is>
      </c>
      <c r="D30" s="15" t="inlineStr">
        <is>
          <t>Chỉ đọc ở màn Xem chi tiết</t>
        </is>
      </c>
      <c r="E30" s="16" t="inlineStr">
        <is>
          <t>P0</t>
        </is>
      </c>
      <c r="F30" s="15" t="inlineStr">
        <is>
          <t>Cuộc họp 'Đã chốt lịch', màn Xem</t>
        </is>
      </c>
      <c r="G30" s="15" t="inlineStr">
        <is>
          <t>1. Mở Chi tiết cuộc họp
2. Vào tab Điểm danh</t>
        </is>
      </c>
      <c r="H30" s="15" t="inlineStr">
        <is>
          <t>Màn: Xem</t>
        </is>
      </c>
      <c r="I30" s="15" t="inlineStr">
        <is>
          <t>- Không có cụm chọn trạng thái
- Hiển thị trạng thái dạng chữ
- Ô Ghi chú không nhập được
- Không có nút 'Điểm danh nhanh'</t>
        </is>
      </c>
      <c r="J30" s="15" t="inlineStr"/>
      <c r="K30" s="16" t="inlineStr">
        <is>
          <t>Not Executed</t>
        </is>
      </c>
      <c r="L30" s="16" t="inlineStr">
        <is>
          <t>Not Executed</t>
        </is>
      </c>
      <c r="M30" s="16" t="inlineStr">
        <is>
          <t>Not Executed</t>
        </is>
      </c>
      <c r="N30" s="15" t="inlineStr"/>
      <c r="O30" s="16" t="inlineStr"/>
      <c r="P30" s="16" t="inlineStr"/>
      <c r="Q30" s="16" t="inlineStr"/>
    </row>
    <row r="31" ht="34" customHeight="1">
      <c r="A31" s="15" t="inlineStr">
        <is>
          <t>Điểm danh Meeting</t>
        </is>
      </c>
      <c r="B31" s="15" t="inlineStr">
        <is>
          <t>ĐIỀU KIỆN ĐƯỢC PHÉP ĐIỂM DANH</t>
        </is>
      </c>
      <c r="C31" s="16" t="inlineStr">
        <is>
          <t>TC_02.003</t>
        </is>
      </c>
      <c r="D31" s="15" t="inlineStr">
        <is>
          <t>Chỉ đọc khi cuộc họp 'Lên lịch hẹn'</t>
        </is>
      </c>
      <c r="E31" s="16" t="inlineStr">
        <is>
          <t>P0</t>
        </is>
      </c>
      <c r="F31" s="15" t="inlineStr">
        <is>
          <t>Cuộc họp 'Lên lịch hẹn', mở màn Sửa</t>
        </is>
      </c>
      <c r="G31" s="15" t="inlineStr">
        <is>
          <t>1. Mở Sửa
2. Vào tab Điểm danh</t>
        </is>
      </c>
      <c r="H31" s="15" t="inlineStr">
        <is>
          <t>Trạng thái: Lên lịch hẹn</t>
        </is>
      </c>
      <c r="I31" s="15" t="inlineStr">
        <is>
          <t>- Chỉ đọc: không chọn trạng thái, không có nút Điểm danh nhanh</t>
        </is>
      </c>
      <c r="J31" s="15" t="inlineStr"/>
      <c r="K31" s="16" t="inlineStr">
        <is>
          <t>Not Executed</t>
        </is>
      </c>
      <c r="L31" s="16" t="inlineStr">
        <is>
          <t>Not Executed</t>
        </is>
      </c>
      <c r="M31" s="16" t="inlineStr">
        <is>
          <t>Not Executed</t>
        </is>
      </c>
      <c r="N31" s="15" t="inlineStr"/>
      <c r="O31" s="16" t="inlineStr"/>
      <c r="P31" s="16" t="inlineStr"/>
      <c r="Q31" s="16" t="inlineStr"/>
    </row>
    <row r="32" ht="34" customHeight="1">
      <c r="A32" s="15" t="inlineStr">
        <is>
          <t>Điểm danh Meeting</t>
        </is>
      </c>
      <c r="B32" s="15" t="inlineStr">
        <is>
          <t>ĐIỀU KIỆN ĐƯỢC PHÉP ĐIỂM DANH</t>
        </is>
      </c>
      <c r="C32" s="16" t="inlineStr">
        <is>
          <t>TC_02.004</t>
        </is>
      </c>
      <c r="D32" s="15" t="inlineStr">
        <is>
          <t>Chỉ đọc khi cuộc họp 'Lưu nháp'</t>
        </is>
      </c>
      <c r="E32" s="16" t="inlineStr">
        <is>
          <t>P1</t>
        </is>
      </c>
      <c r="F32" s="15" t="inlineStr">
        <is>
          <t>Cuộc họp 'Lưu nháp', mở màn Sửa</t>
        </is>
      </c>
      <c r="G32" s="15" t="inlineStr">
        <is>
          <t>1. Mở Sửa
2. Vào tab Điểm danh</t>
        </is>
      </c>
      <c r="H32" s="15" t="inlineStr">
        <is>
          <t>Trạng thái: Lưu nháp</t>
        </is>
      </c>
      <c r="I32" s="15" t="inlineStr">
        <is>
          <t>- Chỉ đọc, không điểm danh được</t>
        </is>
      </c>
      <c r="J32" s="15" t="inlineStr"/>
      <c r="K32" s="16" t="inlineStr">
        <is>
          <t>Not Executed</t>
        </is>
      </c>
      <c r="L32" s="16" t="inlineStr">
        <is>
          <t>Not Executed</t>
        </is>
      </c>
      <c r="M32" s="16" t="inlineStr">
        <is>
          <t>Not Executed</t>
        </is>
      </c>
      <c r="N32" s="15" t="inlineStr"/>
      <c r="O32" s="16" t="inlineStr"/>
      <c r="P32" s="16" t="inlineStr"/>
      <c r="Q32" s="16" t="inlineStr"/>
    </row>
    <row r="33" ht="34" customHeight="1">
      <c r="A33" s="15" t="inlineStr">
        <is>
          <t>Điểm danh Meeting</t>
        </is>
      </c>
      <c r="B33" s="15" t="inlineStr">
        <is>
          <t>ĐIỀU KIỆN ĐƯỢC PHÉP ĐIỂM DANH</t>
        </is>
      </c>
      <c r="C33" s="16" t="inlineStr">
        <is>
          <t>TC_02.005</t>
        </is>
      </c>
      <c r="D33" s="15" t="inlineStr">
        <is>
          <t>Chỉ đọc khi cuộc họp 'Đã hoàn thành'</t>
        </is>
      </c>
      <c r="E33" s="16" t="inlineStr">
        <is>
          <t>P0</t>
        </is>
      </c>
      <c r="F33" s="15" t="inlineStr">
        <is>
          <t>Cuộc họp 'Đã hoàn thành'</t>
        </is>
      </c>
      <c r="G33" s="15" t="inlineStr">
        <is>
          <t>1. Mở Chi tiết
2. Vào tab Điểm danh</t>
        </is>
      </c>
      <c r="H33" s="15" t="inlineStr">
        <is>
          <t>Trạng thái: Đã hoàn thành</t>
        </is>
      </c>
      <c r="I33" s="15" t="inlineStr">
        <is>
          <t>- Hiển thị lại trạng thái điểm danh đã ghi trước đó, không sửa được</t>
        </is>
      </c>
      <c r="J33" s="15" t="inlineStr"/>
      <c r="K33" s="16" t="inlineStr">
        <is>
          <t>Not Executed</t>
        </is>
      </c>
      <c r="L33" s="16" t="inlineStr">
        <is>
          <t>Not Executed</t>
        </is>
      </c>
      <c r="M33" s="16" t="inlineStr">
        <is>
          <t>Not Executed</t>
        </is>
      </c>
      <c r="N33" s="15" t="inlineStr"/>
      <c r="O33" s="16" t="inlineStr"/>
      <c r="P33" s="16" t="inlineStr"/>
      <c r="Q33" s="16" t="inlineStr"/>
    </row>
    <row r="34" ht="34" customHeight="1">
      <c r="A34" s="15" t="inlineStr">
        <is>
          <t>Điểm danh Meeting</t>
        </is>
      </c>
      <c r="B34" s="15" t="inlineStr">
        <is>
          <t>ĐIỀU KIỆN ĐƯỢC PHÉP ĐIỂM DANH</t>
        </is>
      </c>
      <c r="C34" s="16" t="inlineStr">
        <is>
          <t>TC_02.006</t>
        </is>
      </c>
      <c r="D34" s="15" t="inlineStr">
        <is>
          <t>Chỉ đọc khi cuộc họp 'Huỷ'</t>
        </is>
      </c>
      <c r="E34" s="16" t="inlineStr">
        <is>
          <t>P1</t>
        </is>
      </c>
      <c r="F34" s="15" t="inlineStr">
        <is>
          <t>Cuộc họp 'Huỷ'</t>
        </is>
      </c>
      <c r="G34" s="15" t="inlineStr">
        <is>
          <t>1. Mở Chi tiết
2. Vào tab Điểm danh</t>
        </is>
      </c>
      <c r="H34" s="15" t="inlineStr">
        <is>
          <t>Trạng thái: Huỷ</t>
        </is>
      </c>
      <c r="I34" s="15" t="inlineStr">
        <is>
          <t>- Chỉ đọc, không sửa được</t>
        </is>
      </c>
      <c r="J34" s="15" t="inlineStr"/>
      <c r="K34" s="16" t="inlineStr">
        <is>
          <t>Not Executed</t>
        </is>
      </c>
      <c r="L34" s="16" t="inlineStr">
        <is>
          <t>Not Executed</t>
        </is>
      </c>
      <c r="M34" s="16" t="inlineStr">
        <is>
          <t>Not Executed</t>
        </is>
      </c>
      <c r="N34" s="15" t="inlineStr"/>
      <c r="O34" s="16" t="inlineStr"/>
      <c r="P34" s="16" t="inlineStr"/>
      <c r="Q34" s="16" t="inlineStr"/>
    </row>
    <row r="35" ht="26" customHeight="1">
      <c r="A35" s="13" t="n"/>
      <c r="B35" s="13" t="n"/>
      <c r="C35" s="14" t="inlineStr">
        <is>
          <t>III. ĐIỂM DANH TỪNG THÀNH VIÊN</t>
        </is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5" t="n"/>
    </row>
    <row r="36" ht="34" customHeight="1">
      <c r="A36" s="15" t="inlineStr">
        <is>
          <t>Điểm danh Meeting</t>
        </is>
      </c>
      <c r="B36" s="15" t="inlineStr">
        <is>
          <t>ĐIỂM DANH TỪNG THÀNH VIÊN</t>
        </is>
      </c>
      <c r="C36" s="16" t="inlineStr">
        <is>
          <t>TC_03.001</t>
        </is>
      </c>
      <c r="D36" s="15" t="inlineStr">
        <is>
          <t>Chọn 'Có mặt'</t>
        </is>
      </c>
      <c r="E36" s="16" t="inlineStr">
        <is>
          <t>P0</t>
        </is>
      </c>
      <c r="F36" s="15" t="inlineStr">
        <is>
          <t>Đang Sửa cuộc họp 'Đã chốt lịch', tab Điểm danh, một người đang 'Dự kiến tham gia'</t>
        </is>
      </c>
      <c r="G36" s="15" t="inlineStr">
        <is>
          <t>1. Tại dòng thành viên, chọn 'Có mặt'</t>
        </is>
      </c>
      <c r="H36" s="15" t="inlineStr">
        <is>
          <t>Từ 'Dự kiến tham gia' → chọn 'Có mặt'</t>
        </is>
      </c>
      <c r="I36" s="15" t="inlineStr">
        <is>
          <t>- Mục 'Có mặt' được tô chọn (nền xanh)
- Các lựa chọn khác trở về bình thường</t>
        </is>
      </c>
      <c r="J36" s="15" t="inlineStr"/>
      <c r="K36" s="16" t="inlineStr">
        <is>
          <t>Not Executed</t>
        </is>
      </c>
      <c r="L36" s="16" t="inlineStr">
        <is>
          <t>Not Executed</t>
        </is>
      </c>
      <c r="M36" s="16" t="inlineStr">
        <is>
          <t>Not Executed</t>
        </is>
      </c>
      <c r="N36" s="15" t="inlineStr"/>
      <c r="O36" s="16" t="inlineStr"/>
      <c r="P36" s="16" t="inlineStr"/>
      <c r="Q36" s="16" t="inlineStr"/>
    </row>
    <row r="37" ht="34" customHeight="1">
      <c r="A37" s="15" t="inlineStr">
        <is>
          <t>Điểm danh Meeting</t>
        </is>
      </c>
      <c r="B37" s="15" t="inlineStr">
        <is>
          <t>ĐIỂM DANH TỪNG THÀNH VIÊN</t>
        </is>
      </c>
      <c r="C37" s="16" t="inlineStr">
        <is>
          <t>TC_03.002</t>
        </is>
      </c>
      <c r="D37" s="15" t="inlineStr">
        <is>
          <t>Chọn 'Vắng có lý do'</t>
        </is>
      </c>
      <c r="E37" s="16" t="inlineStr">
        <is>
          <t>P0</t>
        </is>
      </c>
      <c r="F37" s="15" t="inlineStr">
        <is>
          <t>Đang Sửa cuộc họp 'Đã chốt lịch', tab Điểm danh</t>
        </is>
      </c>
      <c r="G37" s="15" t="inlineStr">
        <is>
          <t>1. Chọn 'Vắng có lý do' tại một dòng</t>
        </is>
      </c>
      <c r="H37" s="15" t="inlineStr">
        <is>
          <t>Chọn 'Vắng có lý do'</t>
        </is>
      </c>
      <c r="I37" s="15" t="inlineStr">
        <is>
          <t>- Mục 'Vắng có lý do' được tô chọn (nền vàng)</t>
        </is>
      </c>
      <c r="J37" s="15" t="inlineStr"/>
      <c r="K37" s="16" t="inlineStr">
        <is>
          <t>Not Executed</t>
        </is>
      </c>
      <c r="L37" s="16" t="inlineStr">
        <is>
          <t>Not Executed</t>
        </is>
      </c>
      <c r="M37" s="16" t="inlineStr">
        <is>
          <t>Not Executed</t>
        </is>
      </c>
      <c r="N37" s="15" t="inlineStr"/>
      <c r="O37" s="16" t="inlineStr"/>
      <c r="P37" s="16" t="inlineStr"/>
      <c r="Q37" s="16" t="inlineStr"/>
    </row>
    <row r="38" ht="34" customHeight="1">
      <c r="A38" s="15" t="inlineStr">
        <is>
          <t>Điểm danh Meeting</t>
        </is>
      </c>
      <c r="B38" s="15" t="inlineStr">
        <is>
          <t>ĐIỂM DANH TỪNG THÀNH VIÊN</t>
        </is>
      </c>
      <c r="C38" s="16" t="inlineStr">
        <is>
          <t>TC_03.003</t>
        </is>
      </c>
      <c r="D38" s="15" t="inlineStr">
        <is>
          <t>Chọn 'Vắng không lý do'</t>
        </is>
      </c>
      <c r="E38" s="16" t="inlineStr">
        <is>
          <t>P0</t>
        </is>
      </c>
      <c r="F38" s="15" t="inlineStr">
        <is>
          <t>Đang Sửa cuộc họp 'Đã chốt lịch', tab Điểm danh</t>
        </is>
      </c>
      <c r="G38" s="15" t="inlineStr">
        <is>
          <t>1. Chọn 'Vắng không lý do' tại một dòng</t>
        </is>
      </c>
      <c r="H38" s="15" t="inlineStr">
        <is>
          <t>Chọn 'Vắng không lý do'</t>
        </is>
      </c>
      <c r="I38" s="15" t="inlineStr">
        <is>
          <t>- Mục 'Vắng không lý do' được tô chọn (nền đỏ)</t>
        </is>
      </c>
      <c r="J38" s="15" t="inlineStr"/>
      <c r="K38" s="16" t="inlineStr">
        <is>
          <t>Not Executed</t>
        </is>
      </c>
      <c r="L38" s="16" t="inlineStr">
        <is>
          <t>Not Executed</t>
        </is>
      </c>
      <c r="M38" s="16" t="inlineStr">
        <is>
          <t>Not Executed</t>
        </is>
      </c>
      <c r="N38" s="15" t="inlineStr"/>
      <c r="O38" s="16" t="inlineStr"/>
      <c r="P38" s="16" t="inlineStr"/>
      <c r="Q38" s="16" t="inlineStr"/>
    </row>
    <row r="39" ht="34" customHeight="1">
      <c r="A39" s="15" t="inlineStr">
        <is>
          <t>Điểm danh Meeting</t>
        </is>
      </c>
      <c r="B39" s="15" t="inlineStr">
        <is>
          <t>ĐIỂM DANH TỪNG THÀNH VIÊN</t>
        </is>
      </c>
      <c r="C39" s="16" t="inlineStr">
        <is>
          <t>TC_03.004</t>
        </is>
      </c>
      <c r="D39" s="15" t="inlineStr">
        <is>
          <t>Đổi trạng thái qua lại</t>
        </is>
      </c>
      <c r="E39" s="16" t="inlineStr">
        <is>
          <t>P1</t>
        </is>
      </c>
      <c r="F39" s="15" t="inlineStr">
        <is>
          <t>Đang Sửa cuộc họp 'Đã chốt lịch'</t>
        </is>
      </c>
      <c r="G39" s="15" t="inlineStr">
        <is>
          <t>1. Chọn 'Có mặt'
2. Chọn 'Vắng không lý do'
3. Chọn lại 'Có mặt'</t>
        </is>
      </c>
      <c r="H39" s="15" t="inlineStr">
        <is>
          <t>—</t>
        </is>
      </c>
      <c r="I39" s="15" t="inlineStr">
        <is>
          <t>- Mỗi bước chỉ một trạng thái được chọn; kết quả cuối là 'Có mặt'</t>
        </is>
      </c>
      <c r="J39" s="15" t="inlineStr"/>
      <c r="K39" s="16" t="inlineStr">
        <is>
          <t>Not Executed</t>
        </is>
      </c>
      <c r="L39" s="16" t="inlineStr">
        <is>
          <t>Not Executed</t>
        </is>
      </c>
      <c r="M39" s="16" t="inlineStr">
        <is>
          <t>Not Executed</t>
        </is>
      </c>
      <c r="N39" s="15" t="inlineStr"/>
      <c r="O39" s="16" t="inlineStr"/>
      <c r="P39" s="16" t="inlineStr"/>
      <c r="Q39" s="16" t="inlineStr"/>
    </row>
    <row r="40" ht="34" customHeight="1">
      <c r="A40" s="15" t="inlineStr">
        <is>
          <t>Điểm danh Meeting</t>
        </is>
      </c>
      <c r="B40" s="15" t="inlineStr">
        <is>
          <t>ĐIỂM DANH TỪNG THÀNH VIÊN</t>
        </is>
      </c>
      <c r="C40" s="16" t="inlineStr">
        <is>
          <t>TC_03.005</t>
        </is>
      </c>
      <c r="D40" s="15" t="inlineStr">
        <is>
          <t>Nhập Ghi chú / Lý do</t>
        </is>
      </c>
      <c r="E40" s="16" t="inlineStr">
        <is>
          <t>P1</t>
        </is>
      </c>
      <c r="F40" s="15" t="inlineStr">
        <is>
          <t>Đang Sửa cuộc họp 'Đã chốt lịch'</t>
        </is>
      </c>
      <c r="G40" s="15" t="inlineStr">
        <is>
          <t>1. Nhập 'Đi công tác đột xuất' vào ô Ghi chú của một dòng</t>
        </is>
      </c>
      <c r="H40" s="15" t="inlineStr">
        <is>
          <t>Ghi chú: Đi công tác đột xuất</t>
        </is>
      </c>
      <c r="I40" s="15" t="inlineStr">
        <is>
          <t>- Ô nhận đúng nội dung; lưu lại sau khi lưu cuộc họp</t>
        </is>
      </c>
      <c r="J40" s="15" t="inlineStr"/>
      <c r="K40" s="16" t="inlineStr">
        <is>
          <t>Not Executed</t>
        </is>
      </c>
      <c r="L40" s="16" t="inlineStr">
        <is>
          <t>Not Executed</t>
        </is>
      </c>
      <c r="M40" s="16" t="inlineStr">
        <is>
          <t>Not Executed</t>
        </is>
      </c>
      <c r="N40" s="15" t="inlineStr"/>
      <c r="O40" s="16" t="inlineStr"/>
      <c r="P40" s="16" t="inlineStr"/>
      <c r="Q40" s="16" t="inlineStr"/>
    </row>
    <row r="41" ht="34" customHeight="1">
      <c r="A41" s="15" t="inlineStr">
        <is>
          <t>Điểm danh Meeting</t>
        </is>
      </c>
      <c r="B41" s="15" t="inlineStr">
        <is>
          <t>ĐIỂM DANH TỪNG THÀNH VIÊN</t>
        </is>
      </c>
      <c r="C41" s="16" t="inlineStr">
        <is>
          <t>TC_03.006</t>
        </is>
      </c>
      <c r="D41" s="15" t="inlineStr">
        <is>
          <t>Ô Ghi chú bị khoá ở chế độ chỉ đọc</t>
        </is>
      </c>
      <c r="E41" s="16" t="inlineStr">
        <is>
          <t>P1</t>
        </is>
      </c>
      <c r="F41" s="15" t="inlineStr">
        <is>
          <t>Màn Xem chi tiết</t>
        </is>
      </c>
      <c r="G41" s="15" t="inlineStr">
        <is>
          <t>1. Vào tab Điểm danh ở màn Xem
2. Thử nhập ô Ghi chú</t>
        </is>
      </c>
      <c r="H41" s="15" t="inlineStr">
        <is>
          <t>Màn: Xem</t>
        </is>
      </c>
      <c r="I41" s="15" t="inlineStr">
        <is>
          <t>- Ô Ghi chú không nhập được</t>
        </is>
      </c>
      <c r="J41" s="15" t="inlineStr"/>
      <c r="K41" s="16" t="inlineStr">
        <is>
          <t>Not Executed</t>
        </is>
      </c>
      <c r="L41" s="16" t="inlineStr">
        <is>
          <t>Not Executed</t>
        </is>
      </c>
      <c r="M41" s="16" t="inlineStr">
        <is>
          <t>Not Executed</t>
        </is>
      </c>
      <c r="N41" s="15" t="inlineStr"/>
      <c r="O41" s="16" t="inlineStr"/>
      <c r="P41" s="16" t="inlineStr"/>
      <c r="Q41" s="16" t="inlineStr"/>
    </row>
    <row r="42" ht="34" customHeight="1">
      <c r="A42" s="15" t="inlineStr">
        <is>
          <t>Điểm danh Meeting</t>
        </is>
      </c>
      <c r="B42" s="15" t="inlineStr">
        <is>
          <t>ĐIỂM DANH TỪNG THÀNH VIÊN</t>
        </is>
      </c>
      <c r="C42" s="16" t="inlineStr">
        <is>
          <t>TC_03.007</t>
        </is>
      </c>
      <c r="D42" s="15" t="inlineStr">
        <is>
          <t>Điểm danh độc lập từng dòng</t>
        </is>
      </c>
      <c r="E42" s="16" t="inlineStr">
        <is>
          <t>P1</t>
        </is>
      </c>
      <c r="F42" s="15" t="inlineStr">
        <is>
          <t>Cuộc họp có 3 người, đang Sửa 'Đã chốt lịch'</t>
        </is>
      </c>
      <c r="G42" s="15" t="inlineStr">
        <is>
          <t>1. Dòng 1 → 'Có mặt'
2. Dòng 2 → 'Vắng có lý do'
3. Dòng 3 → giữ nguyên</t>
        </is>
      </c>
      <c r="H42" s="15" t="inlineStr">
        <is>
          <t>—</t>
        </is>
      </c>
      <c r="I42" s="15" t="inlineStr">
        <is>
          <t>- Dòng 1 'Có mặt', dòng 2 'Vắng có lý do', dòng 3 vẫn 'Dự kiến tham gia'; không ảnh hưởng lẫn nhau</t>
        </is>
      </c>
      <c r="J42" s="15" t="inlineStr"/>
      <c r="K42" s="16" t="inlineStr">
        <is>
          <t>Not Executed</t>
        </is>
      </c>
      <c r="L42" s="16" t="inlineStr">
        <is>
          <t>Not Executed</t>
        </is>
      </c>
      <c r="M42" s="16" t="inlineStr">
        <is>
          <t>Not Executed</t>
        </is>
      </c>
      <c r="N42" s="15" t="inlineStr"/>
      <c r="O42" s="16" t="inlineStr"/>
      <c r="P42" s="16" t="inlineStr"/>
      <c r="Q42" s="16" t="inlineStr"/>
    </row>
    <row r="43" ht="26" customHeight="1">
      <c r="A43" s="13" t="n"/>
      <c r="B43" s="13" t="n"/>
      <c r="C43" s="14" t="inlineStr">
        <is>
          <t>IV. ĐIỂM DANH NHANH — TẤT CẢ CÓ MẶT</t>
        </is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5" t="n"/>
    </row>
    <row r="44" ht="34" customHeight="1">
      <c r="A44" s="15" t="inlineStr">
        <is>
          <t>Điểm danh Meeting</t>
        </is>
      </c>
      <c r="B44" s="15" t="inlineStr">
        <is>
          <t>ĐIỂM DANH NHANH — TẤT CẢ CÓ MẶT</t>
        </is>
      </c>
      <c r="C44" s="16" t="inlineStr">
        <is>
          <t>TC_04.001</t>
        </is>
      </c>
      <c r="D44" s="15" t="inlineStr">
        <is>
          <t>Nút 'Điểm danh nhanh' đặt tất cả thành 'Có mặt'</t>
        </is>
      </c>
      <c r="E44" s="16" t="inlineStr">
        <is>
          <t>P0</t>
        </is>
      </c>
      <c r="F44" s="15" t="inlineStr">
        <is>
          <t>Đang Sửa cuộc họp 'Đã chốt lịch', 3 người ở các trạng thái khác nhau</t>
        </is>
      </c>
      <c r="G44" s="15" t="inlineStr">
        <is>
          <t>1. Bấm 'Điểm danh nhanh: Tất cả có mặt'</t>
        </is>
      </c>
      <c r="H44" s="15" t="inlineStr">
        <is>
          <t>3 người trạng thái khác nhau</t>
        </is>
      </c>
      <c r="I44" s="15" t="inlineStr">
        <is>
          <t>- Tất cả các dòng chuyển sang 'Có mặt'</t>
        </is>
      </c>
      <c r="J44" s="15" t="inlineStr"/>
      <c r="K44" s="16" t="inlineStr">
        <is>
          <t>Not Executed</t>
        </is>
      </c>
      <c r="L44" s="16" t="inlineStr">
        <is>
          <t>Not Executed</t>
        </is>
      </c>
      <c r="M44" s="16" t="inlineStr">
        <is>
          <t>Not Executed</t>
        </is>
      </c>
      <c r="N44" s="15" t="inlineStr"/>
      <c r="O44" s="16" t="inlineStr"/>
      <c r="P44" s="16" t="inlineStr"/>
      <c r="Q44" s="16" t="inlineStr"/>
    </row>
    <row r="45" ht="34" customHeight="1">
      <c r="A45" s="15" t="inlineStr">
        <is>
          <t>Điểm danh Meeting</t>
        </is>
      </c>
      <c r="B45" s="15" t="inlineStr">
        <is>
          <t>ĐIỂM DANH NHANH — TẤT CẢ CÓ MẶT</t>
        </is>
      </c>
      <c r="C45" s="16" t="inlineStr">
        <is>
          <t>TC_04.002</t>
        </is>
      </c>
      <c r="D45" s="15" t="inlineStr">
        <is>
          <t>Nút 'Điểm danh nhanh' chỉ hiện khi được phép điểm danh</t>
        </is>
      </c>
      <c r="E45" s="16" t="inlineStr">
        <is>
          <t>P1</t>
        </is>
      </c>
      <c r="F45" s="15" t="inlineStr">
        <is>
          <t>So sánh màn Sửa 'Đã chốt lịch' và màn Xem</t>
        </is>
      </c>
      <c r="G45" s="15" t="inlineStr">
        <is>
          <t>1. Xem màn Sửa 'Đã chốt lịch'
2. Xem màn Xem</t>
        </is>
      </c>
      <c r="H45" s="15" t="inlineStr">
        <is>
          <t>—</t>
        </is>
      </c>
      <c r="I45" s="15" t="inlineStr">
        <is>
          <t>- Màn Sửa 'Đã chốt lịch': có nút
- Màn Xem hoặc trạng thái khác: ẩn nút</t>
        </is>
      </c>
      <c r="J45" s="15" t="inlineStr"/>
      <c r="K45" s="16" t="inlineStr">
        <is>
          <t>Not Executed</t>
        </is>
      </c>
      <c r="L45" s="16" t="inlineStr">
        <is>
          <t>Not Executed</t>
        </is>
      </c>
      <c r="M45" s="16" t="inlineStr">
        <is>
          <t>Not Executed</t>
        </is>
      </c>
      <c r="N45" s="15" t="inlineStr"/>
      <c r="O45" s="16" t="inlineStr"/>
      <c r="P45" s="16" t="inlineStr"/>
      <c r="Q45" s="16" t="inlineStr"/>
    </row>
    <row r="46" ht="26" customHeight="1">
      <c r="A46" s="13" t="n"/>
      <c r="B46" s="13" t="n"/>
      <c r="C46" s="14" t="inlineStr">
        <is>
          <t>V. CHẾ ĐỘ XEM — HIỂN THỊ TRẠNG THÁI DẠNG CHỮ</t>
        </is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5" t="n"/>
    </row>
    <row r="47" ht="34" customHeight="1">
      <c r="A47" s="15" t="inlineStr">
        <is>
          <t>Điểm danh Meeting</t>
        </is>
      </c>
      <c r="B47" s="15" t="inlineStr">
        <is>
          <t>CHẾ ĐỘ XEM — HIỂN THỊ TRẠNG THÁI DẠNG CHỮ</t>
        </is>
      </c>
      <c r="C47" s="16" t="inlineStr">
        <is>
          <t>TC_05.001</t>
        </is>
      </c>
      <c r="D47" s="15" t="inlineStr">
        <is>
          <t>Hiển thị 'Có mặt' màu xanh</t>
        </is>
      </c>
      <c r="E47" s="16" t="inlineStr">
        <is>
          <t>P1</t>
        </is>
      </c>
      <c r="F47" s="15" t="inlineStr">
        <is>
          <t>Màn Xem, một người 'Có mặt'</t>
        </is>
      </c>
      <c r="G47" s="15" t="inlineStr">
        <is>
          <t>1. Vào tab Điểm danh màn Xem</t>
        </is>
      </c>
      <c r="H47" s="15" t="inlineStr">
        <is>
          <t>Trạng thái: Có mặt</t>
        </is>
      </c>
      <c r="I47" s="15" t="inlineStr">
        <is>
          <t>- Chữ 'Có mặt' màu xanh</t>
        </is>
      </c>
      <c r="J47" s="15" t="inlineStr"/>
      <c r="K47" s="16" t="inlineStr">
        <is>
          <t>Not Executed</t>
        </is>
      </c>
      <c r="L47" s="16" t="inlineStr">
        <is>
          <t>Not Executed</t>
        </is>
      </c>
      <c r="M47" s="16" t="inlineStr">
        <is>
          <t>Not Executed</t>
        </is>
      </c>
      <c r="N47" s="15" t="inlineStr"/>
      <c r="O47" s="16" t="inlineStr"/>
      <c r="P47" s="16" t="inlineStr"/>
      <c r="Q47" s="16" t="inlineStr"/>
    </row>
    <row r="48" ht="34" customHeight="1">
      <c r="A48" s="15" t="inlineStr">
        <is>
          <t>Điểm danh Meeting</t>
        </is>
      </c>
      <c r="B48" s="15" t="inlineStr">
        <is>
          <t>CHẾ ĐỘ XEM — HIỂN THỊ TRẠNG THÁI DẠNG CHỮ</t>
        </is>
      </c>
      <c r="C48" s="16" t="inlineStr">
        <is>
          <t>TC_05.002</t>
        </is>
      </c>
      <c r="D48" s="15" t="inlineStr">
        <is>
          <t>Hiển thị 'Vắng…' màu đỏ</t>
        </is>
      </c>
      <c r="E48" s="16" t="inlineStr">
        <is>
          <t>P1</t>
        </is>
      </c>
      <c r="F48" s="15" t="inlineStr">
        <is>
          <t>Màn Xem, có người 'Vắng có lý do' và 'Vắng không lý do'</t>
        </is>
      </c>
      <c r="G48" s="15" t="inlineStr">
        <is>
          <t>1. Vào tab Điểm danh màn Xem</t>
        </is>
      </c>
      <c r="H48" s="15" t="inlineStr">
        <is>
          <t>—</t>
        </is>
      </c>
      <c r="I48" s="15" t="inlineStr">
        <is>
          <t>- 'Vắng có lý do' và 'Vắng không lý do' đều màu đỏ</t>
        </is>
      </c>
      <c r="J48" s="15" t="inlineStr"/>
      <c r="K48" s="16" t="inlineStr">
        <is>
          <t>Not Executed</t>
        </is>
      </c>
      <c r="L48" s="16" t="inlineStr">
        <is>
          <t>Not Executed</t>
        </is>
      </c>
      <c r="M48" s="16" t="inlineStr">
        <is>
          <t>Not Executed</t>
        </is>
      </c>
      <c r="N48" s="15" t="inlineStr"/>
      <c r="O48" s="16" t="inlineStr"/>
      <c r="P48" s="16" t="inlineStr"/>
      <c r="Q48" s="16" t="inlineStr"/>
    </row>
    <row r="49" ht="34" customHeight="1">
      <c r="A49" s="15" t="inlineStr">
        <is>
          <t>Điểm danh Meeting</t>
        </is>
      </c>
      <c r="B49" s="15" t="inlineStr">
        <is>
          <t>CHẾ ĐỘ XEM — HIỂN THỊ TRẠNG THÁI DẠNG CHỮ</t>
        </is>
      </c>
      <c r="C49" s="16" t="inlineStr">
        <is>
          <t>TC_05.003</t>
        </is>
      </c>
      <c r="D49" s="15" t="inlineStr">
        <is>
          <t>Hiển thị 'Dự kiến tham gia' cho người chưa điểm danh</t>
        </is>
      </c>
      <c r="E49" s="16" t="inlineStr">
        <is>
          <t>P1</t>
        </is>
      </c>
      <c r="F49" s="15" t="inlineStr">
        <is>
          <t>Màn Xem, một người chưa điểm danh</t>
        </is>
      </c>
      <c r="G49" s="15" t="inlineStr">
        <is>
          <t>1. Vào tab Điểm danh màn Xem</t>
        </is>
      </c>
      <c r="H49" s="15" t="inlineStr">
        <is>
          <t>Trạng thái: Dự kiến tham gia</t>
        </is>
      </c>
      <c r="I49" s="15" t="inlineStr">
        <is>
          <t>- Chữ 'Dự kiến tham gia' màu xám, in nghiêng</t>
        </is>
      </c>
      <c r="J49" s="15" t="inlineStr"/>
      <c r="K49" s="16" t="inlineStr">
        <is>
          <t>Not Executed</t>
        </is>
      </c>
      <c r="L49" s="16" t="inlineStr">
        <is>
          <t>Not Executed</t>
        </is>
      </c>
      <c r="M49" s="16" t="inlineStr">
        <is>
          <t>Not Executed</t>
        </is>
      </c>
      <c r="N49" s="15" t="inlineStr"/>
      <c r="O49" s="16" t="inlineStr"/>
      <c r="P49" s="16" t="inlineStr"/>
      <c r="Q49" s="16" t="inlineStr"/>
    </row>
    <row r="50" ht="26" customHeight="1">
      <c r="A50" s="13" t="n"/>
      <c r="B50" s="13" t="n"/>
      <c r="C50" s="14" t="inlineStr">
        <is>
          <t>VI. ĐIỀU KIỆN HOÀN THÀNH CUỘC HỌP</t>
        </is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5" t="n"/>
    </row>
    <row r="51" ht="64" customHeight="1">
      <c r="A51" s="15" t="inlineStr">
        <is>
          <t>Điểm danh Meeting</t>
        </is>
      </c>
      <c r="B51" s="15" t="inlineStr">
        <is>
          <t>ĐIỀU KIỆN HOÀN THÀNH CUỘC HỌP</t>
        </is>
      </c>
      <c r="C51" s="16" t="inlineStr">
        <is>
          <t>TC_06.001</t>
        </is>
      </c>
      <c r="D51" s="15" t="inlineStr">
        <is>
          <t>Chặn Hoàn thành khi còn người chưa điểm danh</t>
        </is>
      </c>
      <c r="E51" s="16" t="inlineStr">
        <is>
          <t>P0</t>
        </is>
      </c>
      <c r="F51" s="15" t="inlineStr">
        <is>
          <t>Đang Sửa 'Đã chốt lịch', đã có biên bản, còn ≥1 người 'Dự kiến tham gia'</t>
        </is>
      </c>
      <c r="G51" s="15" t="inlineStr">
        <is>
          <t>1. Bấm nút 'Hoàn thành'</t>
        </is>
      </c>
      <c r="H51" s="15" t="inlineStr">
        <is>
          <t>1 người chưa điểm danh, đã có biên bản</t>
        </is>
      </c>
      <c r="I51" s="15" t="inlineStr">
        <is>
          <t>- Thông báo: 'Vui lòng hoàn thành điểm danh cho tất cả thành viên trước khi chốt biên bản và hoàn thành cuộc họp.'
- Tự chuyển sang tab 'Điểm danh'
- Cuộc họp KHÔNG chuyển sang 'Đã hoàn thành'</t>
        </is>
      </c>
      <c r="J51" s="15" t="inlineStr"/>
      <c r="K51" s="16" t="inlineStr">
        <is>
          <t>Not Executed</t>
        </is>
      </c>
      <c r="L51" s="16" t="inlineStr">
        <is>
          <t>Not Executed</t>
        </is>
      </c>
      <c r="M51" s="16" t="inlineStr">
        <is>
          <t>Not Executed</t>
        </is>
      </c>
      <c r="N51" s="15" t="inlineStr"/>
      <c r="O51" s="16" t="inlineStr"/>
      <c r="P51" s="16" t="inlineStr"/>
      <c r="Q51" s="16" t="inlineStr"/>
    </row>
    <row r="52" ht="34" customHeight="1">
      <c r="A52" s="15" t="inlineStr">
        <is>
          <t>Điểm danh Meeting</t>
        </is>
      </c>
      <c r="B52" s="15" t="inlineStr">
        <is>
          <t>ĐIỀU KIỆN HOÀN THÀNH CUỘC HỌP</t>
        </is>
      </c>
      <c r="C52" s="16" t="inlineStr">
        <is>
          <t>TC_06.002</t>
        </is>
      </c>
      <c r="D52" s="15" t="inlineStr">
        <is>
          <t>Cho Hoàn thành khi đã điểm danh đủ + có biên bản</t>
        </is>
      </c>
      <c r="E52" s="16" t="inlineStr">
        <is>
          <t>P0</t>
        </is>
      </c>
      <c r="F52" s="15" t="inlineStr">
        <is>
          <t>Đang Sửa 'Đã chốt lịch', đã có biên bản, mọi người đã điểm danh</t>
        </is>
      </c>
      <c r="G52" s="15" t="inlineStr">
        <is>
          <t>1. Bấm 'Hoàn thành'</t>
        </is>
      </c>
      <c r="H52" s="15" t="inlineStr">
        <is>
          <t>Điểm danh đủ, đã có biên bản</t>
        </is>
      </c>
      <c r="I52" s="15" t="inlineStr">
        <is>
          <t>- Không báo lỗi điểm danh
- Cuộc họp chuyển sang 'Đã hoàn thành'</t>
        </is>
      </c>
      <c r="J52" s="15" t="inlineStr"/>
      <c r="K52" s="16" t="inlineStr">
        <is>
          <t>Not Executed</t>
        </is>
      </c>
      <c r="L52" s="16" t="inlineStr">
        <is>
          <t>Not Executed</t>
        </is>
      </c>
      <c r="M52" s="16" t="inlineStr">
        <is>
          <t>Not Executed</t>
        </is>
      </c>
      <c r="N52" s="15" t="inlineStr"/>
      <c r="O52" s="16" t="inlineStr"/>
      <c r="P52" s="16" t="inlineStr"/>
      <c r="Q52" s="16" t="inlineStr"/>
    </row>
    <row r="53" ht="45" customHeight="1">
      <c r="A53" s="15" t="inlineStr">
        <is>
          <t>Điểm danh Meeting</t>
        </is>
      </c>
      <c r="B53" s="15" t="inlineStr">
        <is>
          <t>ĐIỀU KIỆN HOÀN THÀNH CUỘC HỌP</t>
        </is>
      </c>
      <c r="C53" s="16" t="inlineStr">
        <is>
          <t>TC_06.003</t>
        </is>
      </c>
      <c r="D53" s="15" t="inlineStr">
        <is>
          <t>Chặn Hoàn thành khi chưa có biên bản (ưu tiên trước điểm danh)</t>
        </is>
      </c>
      <c r="E53" s="16" t="inlineStr">
        <is>
          <t>P1</t>
        </is>
      </c>
      <c r="F53" s="15" t="inlineStr">
        <is>
          <t>Đang Sửa 'Đã chốt lịch', CHƯA có biên bản</t>
        </is>
      </c>
      <c r="G53" s="15" t="inlineStr">
        <is>
          <t>1. Bấm 'Hoàn thành'</t>
        </is>
      </c>
      <c r="H53" s="15" t="inlineStr">
        <is>
          <t>Chưa có biên bản</t>
        </is>
      </c>
      <c r="I53" s="15" t="inlineStr">
        <is>
          <t>- Thông báo: 'Vui lòng thêm biên bản cuộc họp trước khi hoàn thành!'
- Tự chuyển sang tab 'Biên bản'
- Chưa kiểm tra điểm danh ở bước này</t>
        </is>
      </c>
      <c r="J53" s="15" t="inlineStr"/>
      <c r="K53" s="16" t="inlineStr">
        <is>
          <t>Not Executed</t>
        </is>
      </c>
      <c r="L53" s="16" t="inlineStr">
        <is>
          <t>Not Executed</t>
        </is>
      </c>
      <c r="M53" s="16" t="inlineStr">
        <is>
          <t>Not Executed</t>
        </is>
      </c>
      <c r="N53" s="15" t="inlineStr"/>
      <c r="O53" s="16" t="inlineStr"/>
      <c r="P53" s="16" t="inlineStr"/>
      <c r="Q53" s="16" t="inlineStr"/>
    </row>
    <row r="54" ht="34" customHeight="1">
      <c r="A54" s="15" t="inlineStr">
        <is>
          <t>Điểm danh Meeting</t>
        </is>
      </c>
      <c r="B54" s="15" t="inlineStr">
        <is>
          <t>ĐIỀU KIỆN HOÀN THÀNH CUỘC HỌP</t>
        </is>
      </c>
      <c r="C54" s="16" t="inlineStr">
        <is>
          <t>TC_06.004</t>
        </is>
      </c>
      <c r="D54" s="15" t="inlineStr">
        <is>
          <t>Bỏ qua giao diện, Hoàn thành khi còn người chưa điểm danh</t>
        </is>
      </c>
      <c r="E54" s="16" t="inlineStr">
        <is>
          <t>P0</t>
        </is>
      </c>
      <c r="F54" s="15" t="inlineStr">
        <is>
          <t>Dùng công cụ kiểm thử gọi thẳng chức năng Hoàn thành cuộc họp, còn người chưa điểm danh</t>
        </is>
      </c>
      <c r="G54" s="15" t="inlineStr">
        <is>
          <t>1. Gọi thẳng chức năng Hoàn thành, một người còn 'Dự kiến tham gia'</t>
        </is>
      </c>
      <c r="H54" s="15" t="inlineStr">
        <is>
          <t>1 người chưa điểm danh</t>
        </is>
      </c>
      <c r="I54" s="15" t="inlineStr">
        <is>
          <t>- Hệ thống từ chối, báo phải hoàn thành điểm danh cho tất cả thành viên; không chuyển 'Đã hoàn thành'</t>
        </is>
      </c>
      <c r="J54" s="15" t="inlineStr"/>
      <c r="K54" s="16" t="inlineStr">
        <is>
          <t>Not Executed</t>
        </is>
      </c>
      <c r="L54" s="16" t="inlineStr">
        <is>
          <t>Not Executed</t>
        </is>
      </c>
      <c r="M54" s="16" t="inlineStr">
        <is>
          <t>Not Executed</t>
        </is>
      </c>
      <c r="N54" s="15" t="inlineStr"/>
      <c r="O54" s="16" t="inlineStr"/>
      <c r="P54" s="16" t="inlineStr"/>
      <c r="Q54" s="16" t="inlineStr"/>
    </row>
    <row r="55" ht="34" customHeight="1">
      <c r="A55" s="15" t="inlineStr">
        <is>
          <t>Điểm danh Meeting</t>
        </is>
      </c>
      <c r="B55" s="15" t="inlineStr">
        <is>
          <t>ĐIỀU KIỆN HOÀN THÀNH CUỘC HỌP</t>
        </is>
      </c>
      <c r="C55" s="16" t="inlineStr">
        <is>
          <t>TC_06.005</t>
        </is>
      </c>
      <c r="D55" s="15" t="inlineStr">
        <is>
          <t>Bỏ qua giao diện, Hoàn thành khi đã điểm danh đủ</t>
        </is>
      </c>
      <c r="E55" s="16" t="inlineStr">
        <is>
          <t>P0</t>
        </is>
      </c>
      <c r="F55" s="15" t="inlineStr">
        <is>
          <t>Gọi thẳng chức năng Hoàn thành, mọi người đã điểm danh</t>
        </is>
      </c>
      <c r="G55" s="15" t="inlineStr">
        <is>
          <t>1. Gọi thẳng chức năng Hoàn thành khi điểm danh đủ + có biên bản</t>
        </is>
      </c>
      <c r="H55" s="15" t="inlineStr">
        <is>
          <t>Điểm danh đủ</t>
        </is>
      </c>
      <c r="I55" s="15" t="inlineStr">
        <is>
          <t>- Qua điều kiện, cuộc họp chuyển sang 'Đã hoàn thành'</t>
        </is>
      </c>
      <c r="J55" s="15" t="inlineStr"/>
      <c r="K55" s="16" t="inlineStr">
        <is>
          <t>Not Executed</t>
        </is>
      </c>
      <c r="L55" s="16" t="inlineStr">
        <is>
          <t>Not Executed</t>
        </is>
      </c>
      <c r="M55" s="16" t="inlineStr">
        <is>
          <t>Not Executed</t>
        </is>
      </c>
      <c r="N55" s="15" t="inlineStr"/>
      <c r="O55" s="16" t="inlineStr"/>
      <c r="P55" s="16" t="inlineStr"/>
      <c r="Q55" s="16" t="inlineStr"/>
    </row>
    <row r="56" ht="26" customHeight="1">
      <c r="A56" s="13" t="n"/>
      <c r="B56" s="13" t="n"/>
      <c r="C56" s="14" t="inlineStr">
        <is>
          <t>VII. LƯU TRỮ DỮ LIỆU &amp; EDGE CASE</t>
        </is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5" t="n"/>
    </row>
    <row r="57" ht="34" customHeight="1">
      <c r="A57" s="15" t="inlineStr">
        <is>
          <t>Điểm danh Meeting</t>
        </is>
      </c>
      <c r="B57" s="15" t="inlineStr">
        <is>
          <t>LƯU TRỮ DỮ LIỆU &amp; EDGE CASE</t>
        </is>
      </c>
      <c r="C57" s="16" t="inlineStr">
        <is>
          <t>TC_07.001</t>
        </is>
      </c>
      <c r="D57" s="15" t="inlineStr">
        <is>
          <t>Lưu giữ trạng thái điểm danh sau khi mở lại</t>
        </is>
      </c>
      <c r="E57" s="16" t="inlineStr">
        <is>
          <t>P0</t>
        </is>
      </c>
      <c r="F57" s="15" t="inlineStr">
        <is>
          <t>Đang Sửa 'Đã chốt lịch'; điểm danh A='Có mặt', B='Vắng có lý do' + ghi chú</t>
        </is>
      </c>
      <c r="G57" s="15" t="inlineStr">
        <is>
          <t>1. Điểm danh như trên
2. Lưu cuộc họp (giữ 'Đã chốt lịch')
3. Mở lại Chi tiết</t>
        </is>
      </c>
      <c r="H57" s="15" t="inlineStr">
        <is>
          <t>A: Có mặt; B: Vắng có lý do, ghi chú 'Bận'</t>
        </is>
      </c>
      <c r="I57" s="15" t="inlineStr">
        <is>
          <t>- Mở lại: A 'Có mặt', B 'Vắng có lý do' kèm ghi chú 'Bận'</t>
        </is>
      </c>
      <c r="J57" s="15" t="inlineStr"/>
      <c r="K57" s="16" t="inlineStr">
        <is>
          <t>Not Executed</t>
        </is>
      </c>
      <c r="L57" s="16" t="inlineStr">
        <is>
          <t>Not Executed</t>
        </is>
      </c>
      <c r="M57" s="16" t="inlineStr">
        <is>
          <t>Not Executed</t>
        </is>
      </c>
      <c r="N57" s="15" t="inlineStr"/>
      <c r="O57" s="16" t="inlineStr"/>
      <c r="P57" s="16" t="inlineStr"/>
      <c r="Q57" s="16" t="inlineStr"/>
    </row>
    <row r="58" ht="34" customHeight="1">
      <c r="A58" s="15" t="inlineStr">
        <is>
          <t>Điểm danh Meeting</t>
        </is>
      </c>
      <c r="B58" s="15" t="inlineStr">
        <is>
          <t>LƯU TRỮ DỮ LIỆU &amp; EDGE CASE</t>
        </is>
      </c>
      <c r="C58" s="16" t="inlineStr">
        <is>
          <t>TC_07.002</t>
        </is>
      </c>
      <c r="D58" s="15" t="inlineStr">
        <is>
          <t>Người giữ 'Dự kiến tham gia' vẫn lưu đúng</t>
        </is>
      </c>
      <c r="E58" s="16" t="inlineStr">
        <is>
          <t>P0</t>
        </is>
      </c>
      <c r="F58" s="15" t="inlineStr">
        <is>
          <t>Đang Sửa 'Đã chốt lịch', một người giữ 'Dự kiến tham gia'</t>
        </is>
      </c>
      <c r="G58" s="15" t="inlineStr">
        <is>
          <t>1. Lưu cuộc họp
2. Mở lại tab Điểm danh</t>
        </is>
      </c>
      <c r="H58" s="15" t="inlineStr">
        <is>
          <t>Một người: Dự kiến tham gia</t>
        </is>
      </c>
      <c r="I58" s="15" t="inlineStr">
        <is>
          <t>- Mở lại vẫn hiển thị 'Dự kiến tham gia' cho người đó</t>
        </is>
      </c>
      <c r="J58" s="15" t="inlineStr"/>
      <c r="K58" s="16" t="inlineStr">
        <is>
          <t>Not Executed</t>
        </is>
      </c>
      <c r="L58" s="16" t="inlineStr">
        <is>
          <t>Not Executed</t>
        </is>
      </c>
      <c r="M58" s="16" t="inlineStr">
        <is>
          <t>Not Executed</t>
        </is>
      </c>
      <c r="N58" s="15" t="inlineStr"/>
      <c r="O58" s="16" t="inlineStr"/>
      <c r="P58" s="16" t="inlineStr"/>
      <c r="Q58" s="16" t="inlineStr"/>
    </row>
    <row r="59" ht="34" customHeight="1">
      <c r="A59" s="15" t="inlineStr">
        <is>
          <t>Điểm danh Meeting</t>
        </is>
      </c>
      <c r="B59" s="15" t="inlineStr">
        <is>
          <t>LƯU TRỮ DỮ LIỆU &amp; EDGE CASE</t>
        </is>
      </c>
      <c r="C59" s="16" t="inlineStr">
        <is>
          <t>TC_07.003</t>
        </is>
      </c>
      <c r="D59" s="15" t="inlineStr">
        <is>
          <t>Xoá một thành viên ở tab Thông tin rồi lưu</t>
        </is>
      </c>
      <c r="E59" s="16" t="inlineStr">
        <is>
          <t>P1</t>
        </is>
      </c>
      <c r="F59" s="15" t="inlineStr">
        <is>
          <t>Cuộc họp 'Đã chốt lịch' có 3 người đã điểm danh; xoá 1 người ở tab Thông tin</t>
        </is>
      </c>
      <c r="G59" s="15" t="inlineStr">
        <is>
          <t>1. Xoá 1 người ở tab Thông tin
2. Lưu
3. Vào lại tab Điểm danh</t>
        </is>
      </c>
      <c r="H59" s="15" t="inlineStr">
        <is>
          <t>Còn 2 người</t>
        </is>
      </c>
      <c r="I59" s="15" t="inlineStr">
        <is>
          <t>- Tab Điểm danh còn 2 người, trạng thái điểm danh của họ giữ nguyên</t>
        </is>
      </c>
      <c r="J59" s="15" t="inlineStr"/>
      <c r="K59" s="16" t="inlineStr">
        <is>
          <t>Not Executed</t>
        </is>
      </c>
      <c r="L59" s="16" t="inlineStr">
        <is>
          <t>Not Executed</t>
        </is>
      </c>
      <c r="M59" s="16" t="inlineStr">
        <is>
          <t>Not Executed</t>
        </is>
      </c>
      <c r="N59" s="15" t="inlineStr"/>
      <c r="O59" s="16" t="inlineStr"/>
      <c r="P59" s="16" t="inlineStr"/>
      <c r="Q59" s="16" t="inlineStr"/>
    </row>
    <row r="60" ht="34" customHeight="1">
      <c r="A60" s="15" t="inlineStr">
        <is>
          <t>Điểm danh Meeting</t>
        </is>
      </c>
      <c r="B60" s="15" t="inlineStr">
        <is>
          <t>LƯU TRỮ DỮ LIỆU &amp; EDGE CASE</t>
        </is>
      </c>
      <c r="C60" s="16" t="inlineStr">
        <is>
          <t>TC_07.004</t>
        </is>
      </c>
      <c r="D60" s="15" t="inlineStr">
        <is>
          <t>Nội bộ và khách hàng lưu đúng thành phần</t>
        </is>
      </c>
      <c r="E60" s="16" t="inlineStr">
        <is>
          <t>P1</t>
        </is>
      </c>
      <c r="F60" s="15" t="inlineStr">
        <is>
          <t>Cuộc họp 'Đã chốt lịch', điểm danh cả nội bộ + khách hàng rồi lưu</t>
        </is>
      </c>
      <c r="G60" s="15" t="inlineStr">
        <is>
          <t>1. Điểm danh A (nội bộ)='Có mặt', K (khách hàng)='Vắng có lý do'
2. Lưu
3. Mở lại</t>
        </is>
      </c>
      <c r="H60" s="15" t="inlineStr">
        <is>
          <t>—</t>
        </is>
      </c>
      <c r="I60" s="15" t="inlineStr">
        <is>
          <t>- A hiển thị nhãn 'Nội bộ' trạng thái 'Có mặt'; K nhãn 'Khách hàng' trạng thái 'Vắng có lý do'</t>
        </is>
      </c>
      <c r="J60" s="15" t="inlineStr"/>
      <c r="K60" s="16" t="inlineStr">
        <is>
          <t>Not Executed</t>
        </is>
      </c>
      <c r="L60" s="16" t="inlineStr">
        <is>
          <t>Not Executed</t>
        </is>
      </c>
      <c r="M60" s="16" t="inlineStr">
        <is>
          <t>Not Executed</t>
        </is>
      </c>
      <c r="N60" s="15" t="inlineStr"/>
      <c r="O60" s="16" t="inlineStr"/>
      <c r="P60" s="16" t="inlineStr"/>
      <c r="Q60" s="16" t="inlineStr"/>
    </row>
  </sheetData>
  <mergeCells count="40">
    <mergeCell ref="B9:N9"/>
    <mergeCell ref="I15:J15"/>
    <mergeCell ref="C50:Q50"/>
    <mergeCell ref="K15:L15"/>
    <mergeCell ref="A11:E11"/>
    <mergeCell ref="I11:J11"/>
    <mergeCell ref="C22:Q22"/>
    <mergeCell ref="B6:N6"/>
    <mergeCell ref="C56:Q56"/>
    <mergeCell ref="A1:N1"/>
    <mergeCell ref="B5:N5"/>
    <mergeCell ref="C43:Q43"/>
    <mergeCell ref="K11:L11"/>
    <mergeCell ref="M11:N11"/>
    <mergeCell ref="C46:Q46"/>
    <mergeCell ref="B4:N4"/>
    <mergeCell ref="O12:Q12"/>
    <mergeCell ref="B7:N7"/>
    <mergeCell ref="B3:N3"/>
    <mergeCell ref="O11:Q11"/>
    <mergeCell ref="M13:N13"/>
    <mergeCell ref="I12:J12"/>
    <mergeCell ref="O14:Q14"/>
    <mergeCell ref="M15:N15"/>
    <mergeCell ref="K12:L12"/>
    <mergeCell ref="M12:N12"/>
    <mergeCell ref="C28:Q28"/>
    <mergeCell ref="C35:Q35"/>
    <mergeCell ref="O13:Q13"/>
    <mergeCell ref="I14:J14"/>
    <mergeCell ref="C18:Q18"/>
    <mergeCell ref="K14:L14"/>
    <mergeCell ref="B2:N2"/>
    <mergeCell ref="O15:Q15"/>
    <mergeCell ref="B8:N8"/>
    <mergeCell ref="M14:N14"/>
    <mergeCell ref="I13:J13"/>
    <mergeCell ref="F11:H15"/>
    <mergeCell ref="K13:L13"/>
    <mergeCell ref="B10:N10"/>
  </mergeCells>
  <dataValidations count="2">
    <dataValidation sqref="K18:M110" showDropDown="0" showInputMessage="0" showErrorMessage="0" allowBlank="1" type="list">
      <formula1>"Passed,Failed,Pending,Not Executed"</formula1>
    </dataValidation>
    <dataValidation sqref="O18:Q110" showDropDown="0" showInputMessage="0" showErrorMessage="0" allowBlank="1" type="list">
      <formula1>"P,F,PE"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2026-09-04T09:00:35Z</dcterms:created>
  <dcterms:modified xmlns:dcterms="http://purl.org/dc/terms/" xmlns:xsi="http://www.w3.org/2001/XMLSchema-instance" xsi:type="dcterms:W3CDTF">2026-09-04T09:00:35Z</dcterms:modified>
</cp:coreProperties>
</file>