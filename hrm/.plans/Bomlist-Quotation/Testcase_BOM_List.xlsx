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OM 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<sst xmlns="http://schemas.openxmlformats.org/spreadsheetml/2006/main" uniqueCount="297">
  <si>
    <t>Testcase _ BOM List</t>
  </si>
  <si>
    <t>TEST SUMMARY</t>
  </si>
  <si>
    <t>Số trường hợp kiểm thử đạt (P):</t>
  </si>
  <si>
    <t>Số trường hợp kiểm thử không đạt (F):</t>
  </si>
  <si>
    <t>Số trường hợp kiểm thử đang xem xét (PE):</t>
  </si>
  <si>
    <t>Số trường hợp kiểm thử chưa thực hiện:</t>
  </si>
  <si>
    <t>Tổng số trường hợp kiểm thử:</t>
  </si>
  <si>
    <t>Module</t>
  </si>
  <si>
    <t>Nhóm chức năng</t>
  </si>
  <si>
    <t>TC ID</t>
  </si>
  <si>
    <t>Chức năng</t>
  </si>
  <si>
    <t>Priority</t>
  </si>
  <si>
    <t>Tiền điều kiện</t>
  </si>
  <si>
    <t>Bước thực hiện</t>
  </si>
  <si>
    <t>Test Data</t>
  </si>
  <si>
    <t>Expected Result (chi tiết)</t>
  </si>
  <si>
    <t>KQ thực tế</t>
  </si>
  <si>
    <t>Status</t>
  </si>
  <si>
    <t>Ghi chú</t>
  </si>
  <si>
    <t>I. TRANG DANH SÁCH BOM LIST (/assign/bom-list)</t>
  </si>
  <si>
    <t>BOM List</t>
  </si>
  <si>
    <t>BOM_001.001</t>
  </si>
  <si>
    <t>Hiển thị trang danh sách đúng</t>
  </si>
  <si>
    <t>P0</t>
  </si>
  <si>
    <t>User đã đăng nhập, có quyền xem BOM</t>
  </si>
  <si>
    <t>1. Truy cập /assign/bom-list
2. Quan sát layout trang</t>
  </si>
  <si>
    <t>Hiển thị tiêu đề 'Danh sách BOM List'
Có bảng dữ liệu với các cột: STT, Mã/Tên BOM, Dự án, Giải pháp, Hạng mục, KH, Loại, Trạng thái, Người tạo, Ngày tạo, Cập nhật</t>
  </si>
  <si>
    <t>Not Executed</t>
  </si>
  <si>
    <t>BOM_001.002</t>
  </si>
  <si>
    <t>Tìm kiếm nhanh theo mã/tên BOM</t>
  </si>
  <si>
    <t>Có nhiều BOM trong hệ thống</t>
  </si>
  <si>
    <t>1. Nhập 'PLC' vào ô tìm kiếm nhanh
2. Bấm Enter hoặc chờ auto search</t>
  </si>
  <si>
    <t>Keyword: PLC</t>
  </si>
  <si>
    <t>Chỉ hiển thị BOM có mã/tên chứa 'PLC'</t>
  </si>
  <si>
    <t>BOM_001.003</t>
  </si>
  <si>
    <t>Filter cascading: Dự án → Giải pháp → Hạng mục</t>
  </si>
  <si>
    <t>1. Mở bộ lọc nâng cao
2. Chọn 1 Dự án TKT
3. Quan sát Giải pháp
4. Chọn Hạng mục</t>
  </si>
  <si>
    <t>Giải pháp tự fill (readonly) theo dự án
Hạng mục enable, hiện DS theo giải pháp
Bỏ chọn dự án → Giải pháp + HM disable</t>
  </si>
  <si>
    <t>BOM_001.004</t>
  </si>
  <si>
    <t>Lọc theo Trạng thái</t>
  </si>
  <si>
    <t>1. Chọn Trạng thái = 'Hoàn thành'
2. Bấm Tìm kiếm</t>
  </si>
  <si>
    <t>Chỉ hiển thị BOM status = Hoàn thành</t>
  </si>
  <si>
    <t>BOM_001.005</t>
  </si>
  <si>
    <t>Lọc theo Loại BOM</t>
  </si>
  <si>
    <t>P1</t>
  </si>
  <si>
    <t>1. Chọn Loại BOM = 'Thành phần'
2. Bấm Tìm kiếm</t>
  </si>
  <si>
    <t>Chỉ hiển thị BOM loại Thành phần</t>
  </si>
  <si>
    <t>BOM_001.006</t>
  </si>
  <si>
    <t>Lọc theo Công ty / Phòng ban / Bộ phận</t>
  </si>
  <si>
    <t>1. Chọn Công ty
2. Chọn Phòng ban
3. Bấm Tìm kiếm</t>
  </si>
  <si>
    <t>Chỉ hiển thị BOM thuộc phòng ban đã chọn</t>
  </si>
  <si>
    <t>BOM_001.007</t>
  </si>
  <si>
    <t>Lọc theo khoảng ngày tạo</t>
  </si>
  <si>
    <t>1. Chọn Ngày tạo từ = 01/03/2026
2. Chọn Đến = 31/03/2026
3. Bấm Tìm kiếm</t>
  </si>
  <si>
    <t>Từ: 01/03/2026\nĐến: 31/03/2026</t>
  </si>
  <si>
    <t>Chỉ hiển thị BOM tạo trong khoảng đã chọn</t>
  </si>
  <si>
    <t>BOM_001.008</t>
  </si>
  <si>
    <t>Reset bộ lọc</t>
  </si>
  <si>
    <t>Đã đặt nhiều filter</t>
  </si>
  <si>
    <t>1. Bấm nút 'Làm mới'</t>
  </si>
  <si>
    <t>Tất cả filter về mặc định. Danh sách reload đầy đủ</t>
  </si>
  <si>
    <t>BOM_001.009</t>
  </si>
  <si>
    <t>BOM Đang tạo chỉ hiện cho người tạo</t>
  </si>
  <si>
    <t>Có BOM status=1 do user A tạo</t>
  </si>
  <si>
    <t>1. Login user B
2. Truy cập /assign/bom-list</t>
  </si>
  <si>
    <t>User B không thấy BOM Đang tạo của user A
User A thấy BOM Đang tạo của mình</t>
  </si>
  <si>
    <t>BOM_001.010</t>
  </si>
  <si>
    <t>Phân trang + Sort</t>
  </si>
  <si>
    <t>Có &gt; 10 BOM</t>
  </si>
  <si>
    <t>1. Chuyển trang
2. Click header 'Ngày tạo' để sort</t>
  </si>
  <si>
    <t>Phân trang đúng. Sort tăng/giảm hoạt động</t>
  </si>
  <si>
    <t>BOM_001.011</t>
  </si>
  <si>
    <t>Tuỳ chỉnh cột hiển thị</t>
  </si>
  <si>
    <t>P2</t>
  </si>
  <si>
    <t>1. Click icon tuỳ chỉnh cột
2. Ẩn 1 cột
3. Save</t>
  </si>
  <si>
    <t>Cột đã ẩn biến mất. Reload vẫn giữ cấu hình</t>
  </si>
  <si>
    <t>BOM_001.012</t>
  </si>
  <si>
    <t>Row actions hiện theo điều kiện</t>
  </si>
  <si>
    <t>1. BOM Hoàn thành → có Xem, Sửa, Xuất Excel
2. BOM Đang tạo (mình tạo) → có Xoá
3. BOM của người khác → không có Xoá</t>
  </si>
  <si>
    <t>Actions hiện đúng theo status + quyền</t>
  </si>
  <si>
    <t>II. TẠO BOM LIST (/assign/bom-list/add)</t>
  </si>
  <si>
    <t>BOM_002.001</t>
  </si>
  <si>
    <t>Chọn Dự án → tự fill Giải pháp + KH</t>
  </si>
  <si>
    <t>1. Chọn 1 Dự án TKT</t>
  </si>
  <si>
    <t>Giải pháp tự fill (readonly)
Khách hàng tự fill (disabled)
Hạng mục enable</t>
  </si>
  <si>
    <t>BOM_002.002</t>
  </si>
  <si>
    <t>Tạo BOM Thành phần — Lưu nháp</t>
  </si>
  <si>
    <t>1. Chọn Dự án, nhập Tên BOM
2. Loại: Thành phần
3. Thêm nhanh 1 SP cha
4. Click 'Lưu nháp'</t>
  </si>
  <si>
    <t>Toast thành công. Redirect danh sách
DB: status=1
product_projects KHÔNG có record mới</t>
  </si>
  <si>
    <t>BOM_002.003</t>
  </si>
  <si>
    <t>Tạo BOM Thành phần — Lưu</t>
  </si>
  <si>
    <t>1. Tương tự 002.002
2. Click 'Lưu BOM'</t>
  </si>
  <si>
    <t>Toast thành công. DB: status=2</t>
  </si>
  <si>
    <t>BOM_002.004</t>
  </si>
  <si>
    <t>Thêm nhanh hàng cha x2 không trùng</t>
  </si>
  <si>
    <t>1. Click 'Thêm nhanh hàng hoá'
2. Nhập tên, model, brand, origin, ĐVT, SL
3. Lưu
4. Lặp lại</t>
  </si>
  <si>
    <t>Lần 1 OK. Lần 2 code tự tăng, không lỗi trùng</t>
  </si>
  <si>
    <t>BOM_002.005</t>
  </si>
  <si>
    <t>Thêm nhanh hàng con cho cha local</t>
  </si>
  <si>
    <t>1. Thêm nhanh 1 cha (chưa save BOM)
2. Click 'Thêm nhanh con' trên cha
3. Nhập thông tin con
4. Lưu</t>
  </si>
  <si>
    <t>Con thêm thành công dưới cha. Không lỗi 'cha chưa có trong danh mục'</t>
  </si>
  <si>
    <t>BOM_002.006</t>
  </si>
  <si>
    <t>Chọn hàng hoá từ danh mục</t>
  </si>
  <si>
    <t>1. Click 'Chọn hàng hoá'
2. Tick SP cha + con
3. Click 'Áp dụng'
4. Lưu BOM</t>
  </si>
  <si>
    <t>SP thêm vào bảng đầy đủ thông tin
DB: bom_list_products có name, code, product_project_id</t>
  </si>
  <si>
    <t>BOM_002.007</t>
  </si>
  <si>
    <t>Sửa SP trong BOM không ảnh hưởng danh mục</t>
  </si>
  <si>
    <t>1. Click 'Sửa' trên 1 SP
2. Đổi tên/giá
3. Lưu BOM
4. Check product_projects</t>
  </si>
  <si>
    <t>SP trong BOM đổi. product_projects KHÔNG thay đổi</t>
  </si>
  <si>
    <t>BOM_002.008</t>
  </si>
  <si>
    <t>Xoá SP cha/con</t>
  </si>
  <si>
    <t>1. Xoá 1 SP cha
2. Xoá 1 SP con</t>
  </si>
  <si>
    <t>Xoá cha → con cũng mất
Xoá con → cha vẫn còn</t>
  </si>
  <si>
    <t>BOM_002.009</t>
  </si>
  <si>
    <t>Kéo thả đổi thứ tự</t>
  </si>
  <si>
    <t>1. Kéo icon đổi thứ tự cha
2. Kéo icon đổi thứ tự con</t>
  </si>
  <si>
    <t>Thứ tự thay đổi, STT cập nhật</t>
  </si>
  <si>
    <t>BOM_002.010</t>
  </si>
  <si>
    <t>company/department/part tự fill</t>
  </si>
  <si>
    <t>1. Tạo BOM + save
2. Check DB bom_lists</t>
  </si>
  <si>
    <t>company_id, department_id, part_id từ user đang login</t>
  </si>
  <si>
    <t>III. SỬA BOM LIST (/assign/bom-list/{id}/edit)</t>
  </si>
  <si>
    <t>BOM_003.001</t>
  </si>
  <si>
    <t>BOM Đang tạo: hiện Lưu nháp + Lưu</t>
  </si>
  <si>
    <t>BOM status=1</t>
  </si>
  <si>
    <t>1. Mở edit BOM Đang tạo
2. Quan sát footer</t>
  </si>
  <si>
    <t>Có cả 2 button: 'Lưu nháp' + 'Lưu BOM'</t>
  </si>
  <si>
    <t>BOM_003.002</t>
  </si>
  <si>
    <t>BOM Hoàn thành: ẩn Lưu nháp</t>
  </si>
  <si>
    <t>BOM status=2</t>
  </si>
  <si>
    <t>1. Mở edit BOM Hoàn thành
2. Quan sát footer</t>
  </si>
  <si>
    <t>Chỉ có 'Lưu BOM'. Không có 'Lưu nháp'</t>
  </si>
  <si>
    <t>BOM_003.003</t>
  </si>
  <si>
    <t>BOM Chờ duyệt/Đã duyệt: form disabled</t>
  </si>
  <si>
    <t>BOM status=3 hoặc 4</t>
  </si>
  <si>
    <t>1. Mở edit BOM
2. Quan sát form</t>
  </si>
  <si>
    <t>Tất cả input disabled. Không có footer bar</t>
  </si>
  <si>
    <t>BOM_003.004</t>
  </si>
  <si>
    <t>Sửa SP → save → reload đúng</t>
  </si>
  <si>
    <t>1. Đổi qty/price SP
2. Lưu BOM
3. Mở lại edit</t>
  </si>
  <si>
    <t>Data hiển thị đúng sau reload</t>
  </si>
  <si>
    <t>BOM_003.005</t>
  </si>
  <si>
    <t>name/code lưu đúng trong DB</t>
  </si>
  <si>
    <t>1. Lưu BOM
2. Check bom_list_products</t>
  </si>
  <si>
    <t>Có name, code trong DB (không null)</t>
  </si>
  <si>
    <t>IV. XOÁ BOM LIST</t>
  </si>
  <si>
    <t>BOM_004.001</t>
  </si>
  <si>
    <t>Xoá BOM Đang tạo + chủ sở hữu</t>
  </si>
  <si>
    <t>BOM status=1, created_by = user</t>
  </si>
  <si>
    <t>1. Click icon Xoá
2. Confirm</t>
  </si>
  <si>
    <t>Toast thành công. BOM biến mất khỏi danh sách</t>
  </si>
  <si>
    <t>BOM_004.002</t>
  </si>
  <si>
    <t>Không xoá BOM Hoàn thành</t>
  </si>
  <si>
    <t>1. Quan sát row actions</t>
  </si>
  <si>
    <t>Không hiện icon Xoá</t>
  </si>
  <si>
    <t>BOM_004.003</t>
  </si>
  <si>
    <t>Không xoá BOM của người khác</t>
  </si>
  <si>
    <t>BOM do user khác tạo</t>
  </si>
  <si>
    <t>BOM_004.004</t>
  </si>
  <si>
    <t>Confirm modal đúng thông tin</t>
  </si>
  <si>
    <t>1. Click Xoá
2. Quan sát modal</t>
  </si>
  <si>
    <t>Hiện mã + tên BOM trong message</t>
  </si>
  <si>
    <t>V. XUẤT EXCEL</t>
  </si>
  <si>
    <t>BOM_005.001</t>
  </si>
  <si>
    <t>Popup chọn cột xuất</t>
  </si>
  <si>
    <t>1. Click icon Excel trên 1 BOM
2. Quan sát popup</t>
  </si>
  <si>
    <t>Popup hiện: checkbox cấp con + danh sách cột
Mặc định chọn tất cả</t>
  </si>
  <si>
    <t>BOM_005.002</t>
  </si>
  <si>
    <t>Select all / Deselect all</t>
  </si>
  <si>
    <t>1. Bỏ tick 'Chọn tất cả'
2. Tick lại</t>
  </si>
  <si>
    <t>Bỏ: tất cả cột bỏ chọn
Tick: tất cả cột chọn lại</t>
  </si>
  <si>
    <t>BOM_005.003</t>
  </si>
  <si>
    <t>Xuất có cấp con</t>
  </si>
  <si>
    <t>1. Bật checkbox cấp con
2. Xuất Excel
3. Mở file</t>
  </si>
  <si>
    <t>File có hàng cha + hàng con (STT 1, 1.1, 1.2...)</t>
  </si>
  <si>
    <t>BOM_005.004</t>
  </si>
  <si>
    <t>Xuất không cấp con</t>
  </si>
  <si>
    <t>1. Tắt checkbox cấp con
2. Xuất Excel
3. Mở file</t>
  </si>
  <si>
    <t>File chỉ có hàng cha</t>
  </si>
  <si>
    <t>BOM_005.005</t>
  </si>
  <si>
    <t>Header thông tin BOM đúng</t>
  </si>
  <si>
    <t>1. Xuất Excel
2. Mở file, xem header</t>
  </si>
  <si>
    <t>Có: Tên BOM, Mã BOM, Dự án TKT, Giải pháp, Hạng mục, Khách hàng</t>
  </si>
  <si>
    <t>BOM_005.006</t>
  </si>
  <si>
    <t>Format Excel đúng</t>
  </si>
  <si>
    <t>1. Mở file Excel
2. Kiểm tra format</t>
  </si>
  <si>
    <t>Font Times New Roman
Auto-fit column
Số tiền format #,##0 (dùng được SUM)</t>
  </si>
  <si>
    <t>BOM_005.007</t>
  </si>
  <si>
    <t>Hàng cha/con style đúng</t>
  </si>
  <si>
    <t>1. Mở file Excel
2. Quan sát style</t>
  </si>
  <si>
    <t>Cha: bold, nền xanh nhạt
Con: indent, nền trắng
Dòng cuối: TỔNG CỘNG đúng</t>
  </si>
  <si>
    <t>BOM_005.008</t>
  </si>
  <si>
    <t>Xuất từ trang chi tiết</t>
  </si>
  <si>
    <t>1. Mở /assign/bom-list/{id}
2. Click 'Xuất Excel' ở footer bar</t>
  </si>
  <si>
    <t>Popup hiện, xuất thành công</t>
  </si>
  <si>
    <t>VI. IMPORT EXCEL</t>
  </si>
  <si>
    <t>BOM_006.001</t>
  </si>
  <si>
    <t>Download template mẫu</t>
  </si>
  <si>
    <t>1. Mở edit BOM
2. Click 'Import Excel'
3. Click 'Download template'</t>
  </si>
  <si>
    <t>File .xlsx mở được. Có header + dòng mẫu cha (STT 1) + con (STT 1.1)</t>
  </si>
  <si>
    <t>BOM_006.002</t>
  </si>
  <si>
    <t>Import preview đúng</t>
  </si>
  <si>
    <t>1. Điền data vào template
2. Upload file
3. Quan sát preview</t>
  </si>
  <si>
    <t>Bảng preview hiện đúng số dòng + cột</t>
  </si>
  <si>
    <t>BOM_006.003</t>
  </si>
  <si>
    <t>Validate: thiếu trường bắt buộc</t>
  </si>
  <si>
    <t>1. Bỏ trống tên SP
2. Click Validate</t>
  </si>
  <si>
    <t>Lỗi: 'Tên hàng hoá là bắt buộc'
Tương tự cho: Model, Thương hiệu, Xuất xứ, ĐVT, SL</t>
  </si>
  <si>
    <t>BOM_006.004</t>
  </si>
  <si>
    <t>Validate: lookup không tồn tại</t>
  </si>
  <si>
    <t>1. Nhập Model = 'ABCXYZ' (không có trong danh mục)
2. Validate</t>
  </si>
  <si>
    <t>Lỗi: 'Model "ABCXYZ" không tồn tại trong danh mục'</t>
  </si>
  <si>
    <t>BOM_006.005</t>
  </si>
  <si>
    <t>Validate: thành tiền cha ≠ tổng con</t>
  </si>
  <si>
    <t>1. Cha: giá 100, SL 1 (thành tiền 100)
2. Con: giá 200, SL 1 (thành tiền 200)
3. Validate</t>
  </si>
  <si>
    <t>Cảnh báo: thành tiền cha không bằng tổng con</t>
  </si>
  <si>
    <t>BOM_006.006</t>
  </si>
  <si>
    <t>Import thành công</t>
  </si>
  <si>
    <t>1. Upload file hợp lệ
2. Validate → all valid
3. Click Import</t>
  </si>
  <si>
    <t>Toast thành công. SP thêm vào BOM. Reload đúng</t>
  </si>
  <si>
    <t>BOM_006.007</t>
  </si>
  <si>
    <t>Mã hàng tự sinh</t>
  </si>
  <si>
    <t>1. Bỏ trống cột Mã hàng hoá
2. Import</t>
  </si>
  <si>
    <t>Mã tự sinh: HH-XXXXX</t>
  </si>
  <si>
    <t>BOM_006.008</t>
  </si>
  <si>
    <t>Cha/con mapping đúng qua STT</t>
  </si>
  <si>
    <t>1. STT 1 = cha, 1.1 = con
2. Import
3. Check DB</t>
  </si>
  <si>
    <t>bom_list_products: con có parent_id = id của cha</t>
  </si>
  <si>
    <t>BOM_006.009</t>
  </si>
  <si>
    <t>Button Import chỉ hiện BOM Thành phần</t>
  </si>
  <si>
    <t>1. Mở edit BOM Tổng hợp
2. Quan sát toolbar</t>
  </si>
  <si>
    <t>Không có nút 'Import Excel'</t>
  </si>
  <si>
    <t>VII. TRANG CHI TIẾT (/assign/bom-list/{id})</t>
  </si>
  <si>
    <t>BOM_007.001</t>
  </si>
  <si>
    <t>Hiện readonly — không có input</t>
  </si>
  <si>
    <t>1. Truy cập /assign/bom-list/{id}
2. Quan sát form + bảng</t>
  </si>
  <si>
    <t>Tất cả field hiện text thuần (không input/textarea)
Số tiền hiện format</t>
  </si>
  <si>
    <t>BOM_007.002</t>
  </si>
  <si>
    <t>Ẩn tất cả action buttons</t>
  </si>
  <si>
    <t>1. Quan sát toolbar + bảng</t>
  </si>
  <si>
    <t>Không có: Chọn HH, Import, Thêm nhanh, Sửa, Xoá, kéo thả
Không có cột Thao tác</t>
  </si>
  <si>
    <t>BOM_007.003</t>
  </si>
  <si>
    <t>Layout không lệch</t>
  </si>
  <si>
    <t>1. Quan sát bảng chi tiết</t>
  </si>
  <si>
    <t>Không có cột trống thừa
Cột Model hiện đầy đủ (không bị che)</t>
  </si>
  <si>
    <t>BOM_007.004</t>
  </si>
  <si>
    <t>STT cấp con indent</t>
  </si>
  <si>
    <t>1. Quan sát cột STT</t>
  </si>
  <si>
    <t>STT con (1.1, 1.2) lùi đầu dòng, font normal
STT cha (1, 2) bold</t>
  </si>
  <si>
    <t>BOM_007.005</t>
  </si>
  <si>
    <t>Header card: người tạo + thời gian</t>
  </si>
  <si>
    <t>1. Quan sát góc phải header card</t>
  </si>
  <si>
    <t>Hiện: [Tên người tạo] — [dd/mm/yyyy HH:mm:ss]</t>
  </si>
  <si>
    <t>BOM_007.006</t>
  </si>
  <si>
    <t>Footer bar: Sửa → edit</t>
  </si>
  <si>
    <t>1. Click 'Sửa' ở footer bar</t>
  </si>
  <si>
    <t>Navigate sang /assign/bom-list/{id}/edit</t>
  </si>
  <si>
    <t>BOM_007.007</t>
  </si>
  <si>
    <t>Footer bar: Xuất Excel</t>
  </si>
  <si>
    <t>1. Click 'Xuất Excel' ở footer bar</t>
  </si>
  <si>
    <t>Popup chọn cột hiện, xuất thành công</t>
  </si>
  <si>
    <t>BOM_007.008</t>
  </si>
  <si>
    <t>Form header disabled</t>
  </si>
  <si>
    <t>1. Quan sát form header (tên, dự án, GP...)</t>
  </si>
  <si>
    <t>Tất cả input/select disabled</t>
  </si>
  <si>
    <t>VIII. BOM TỔNG HỢP (Aggregate)</t>
  </si>
  <si>
    <t>BOM_008.001</t>
  </si>
  <si>
    <t>Tạo BOM Tổng hợp</t>
  </si>
  <si>
    <t>1. Chọn loại 'Tổng hợp'</t>
  </si>
  <si>
    <t>'Chọn hàng hoá' disabled
'Chọn BL con' enable</t>
  </si>
  <si>
    <t>BOM_008.002</t>
  </si>
  <si>
    <t>Chọn BL con</t>
  </si>
  <si>
    <t>Có BOM Thành phần</t>
  </si>
  <si>
    <t>1. Click 'Chọn BL con'
2. Chọn BOM
3. OK</t>
  </si>
  <si>
    <t>Chip hiện mã + tên BOM con dưới button</t>
  </si>
  <si>
    <t>BOM_008.003</t>
  </si>
  <si>
    <t>Save BOM Tổng hợp</t>
  </si>
  <si>
    <t>1. Chọn BL con
2. Lưu BOM
3. Check DB</t>
  </si>
  <si>
    <t>bom_list_type=2
bom_list_relations có record child_bom_list_id</t>
  </si>
  <si>
    <t>BOM_008.004</t>
  </si>
  <si>
    <t>Ẩn Import Excel ở BOM Tổng hợp</t>
  </si>
  <si>
    <t>1. Quan sát toolbar</t>
  </si>
  <si>
    <t>BOM_008.005</t>
  </si>
  <si>
    <t>Chuyển Thành phần → Tổng hợp</t>
  </si>
  <si>
    <t>1. Đổi loại BOM</t>
  </si>
  <si>
    <t>Hàng hoá bị clear. BL con enable</t>
  </si>
  <si>
    <t>BOM_008.006</t>
  </si>
  <si>
    <t>Chuyển Tổng hợp → Thành phần</t>
  </si>
  <si>
    <t>BL con bị clear. Hàng hoá enable</t>
  </si>
  <si>
    <t>BOM_008.007</t>
  </si>
  <si>
    <t>Edit BOM Tổng hợp</t>
  </si>
  <si>
    <t>1. Mở edit
2. BL con hiện đúng
3. Thêm/bỏ BL con
4. Save</t>
  </si>
  <si>
    <t>BL con cập nhật đúng</t>
  </si>
  <si>
    <t>BOM_008.008</t>
  </si>
  <si>
    <t>Detail BOM Tổng hợp</t>
  </si>
  <si>
    <t>1. Mở chi tiết</t>
  </si>
  <si>
    <t>BL con hiện readonly. Không có 'Chọn BL con'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</si>
</sst>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Times New Roman"/>
    </font>
    <font>
      <b val="1"/>
      <i val="0"/>
      <strike val="0"/>
      <u val="none"/>
      <sz val="14"/>
      <color rgb="FF1F4E79"/>
      <name val="Times New Roman"/>
    </font>
    <font>
      <b val="1"/>
      <i val="0"/>
      <strike val="0"/>
      <u val="none"/>
      <sz val="11"/>
      <color rgb="FF1F4E79"/>
      <name val="Times New Roman"/>
    </font>
    <font>
      <b val="0"/>
      <i val="0"/>
      <strike val="0"/>
      <u val="none"/>
      <sz val="11"/>
      <color rgb="FF00000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D6E4F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0"/>
    <xf xfId="0" fontId="3" numFmtId="0" fillId="3" borderId="1" applyFont="1" applyNumberFormat="0" applyFill="1" applyBorder="1" applyAlignment="0"/>
    <xf xfId="0" fontId="4" numFmtId="0" fillId="0" borderId="1" applyFont="1" applyNumberFormat="0" applyFill="0" applyBorder="1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78"/>
  <sheetViews>
    <sheetView tabSelected="1" workbookViewId="0" showGridLines="true" showRowColHeaders="1">
      <selection activeCell="A78" sqref="A78:M78"/>
    </sheetView>
  </sheetViews>
  <sheetFormatPr defaultRowHeight="14.4" outlineLevelRow="0" outlineLevelCol="0"/>
  <cols>
    <col min="1" max="1" width="14" customWidth="true" style="0"/>
    <col min="2" max="2" width="18" customWidth="true" style="0"/>
    <col min="3" max="3" width="16" customWidth="true" style="0"/>
    <col min="4" max="4" width="35" customWidth="true" style="0"/>
    <col min="5" max="5" width="10" customWidth="true" style="0"/>
    <col min="6" max="6" width="30" customWidth="true" style="0"/>
    <col min="7" max="7" width="45" customWidth="true" style="0"/>
    <col min="8" max="8" width="20" customWidth="true" style="0"/>
    <col min="9" max="9" width="12" customWidth="true" style="0"/>
    <col min="10" max="10" width="50" customWidth="true" style="0"/>
    <col min="11" max="11" width="15" customWidth="true" style="0"/>
    <col min="12" max="12" width="14" customWidth="true" style="0"/>
    <col min="13" max="13" width="15" customWidth="true" style="0"/>
  </cols>
  <sheetData>
    <row r="1" spans="1:13">
      <c r="A1" s="2" t="s">
        <v>0</v>
      </c>
      <c r="F1" t="s">
        <v>1</v>
      </c>
      <c r="J1" t="s">
        <v>2</v>
      </c>
      <c r="K1">
        <f>COUNTIF(L8:L500,"Passed")</f>
        <v>0</v>
      </c>
    </row>
    <row r="2" spans="1:13">
      <c r="J2" t="s">
        <v>3</v>
      </c>
      <c r="K2">
        <f>COUNTIF(L8:L500,"Failed")</f>
        <v>0</v>
      </c>
    </row>
    <row r="3" spans="1:13">
      <c r="J3" t="s">
        <v>4</v>
      </c>
      <c r="K3">
        <f>COUNTIF(L8:L500,"Pending")</f>
        <v>0</v>
      </c>
    </row>
    <row r="4" spans="1:13">
      <c r="J4" t="s">
        <v>5</v>
      </c>
      <c r="K4">
        <f>COUNTIF(L8:L500,"Not Executed")</f>
        <v>64</v>
      </c>
    </row>
    <row r="5" spans="1:13">
      <c r="J5" t="s">
        <v>6</v>
      </c>
      <c r="K5">
        <f>COUNTA(L8:L500)</f>
        <v>64</v>
      </c>
    </row>
    <row r="6" spans="1:13" customHeight="1" ht="30">
      <c r="A6" s="1" t="s">
        <v>7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14</v>
      </c>
      <c r="J6" s="1" t="s">
        <v>15</v>
      </c>
      <c r="K6" s="1" t="s">
        <v>16</v>
      </c>
      <c r="L6" s="1" t="s">
        <v>17</v>
      </c>
      <c r="M6" s="1" t="s">
        <v>18</v>
      </c>
    </row>
    <row r="7" spans="1:13">
      <c r="A7" s="3"/>
      <c r="B7" s="3"/>
      <c r="C7" s="3" t="s">
        <v>19</v>
      </c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>
      <c r="A8" s="4" t="s">
        <v>20</v>
      </c>
      <c r="B8" s="4" t="s">
        <v>20</v>
      </c>
      <c r="C8" s="4" t="s">
        <v>21</v>
      </c>
      <c r="D8" s="4" t="s">
        <v>22</v>
      </c>
      <c r="E8" s="4" t="s">
        <v>23</v>
      </c>
      <c r="F8" s="4" t="s">
        <v>24</v>
      </c>
      <c r="G8" s="4" t="s">
        <v>25</v>
      </c>
      <c r="H8" s="4"/>
      <c r="I8" s="4"/>
      <c r="J8" s="4" t="s">
        <v>26</v>
      </c>
      <c r="K8" s="4"/>
      <c r="L8" s="4" t="s">
        <v>27</v>
      </c>
      <c r="M8" s="4"/>
    </row>
    <row r="9" spans="1:13">
      <c r="A9" s="4" t="s">
        <v>20</v>
      </c>
      <c r="B9" s="4" t="s">
        <v>20</v>
      </c>
      <c r="C9" s="4" t="s">
        <v>28</v>
      </c>
      <c r="D9" s="4" t="s">
        <v>29</v>
      </c>
      <c r="E9" s="4" t="s">
        <v>23</v>
      </c>
      <c r="F9" s="4" t="s">
        <v>30</v>
      </c>
      <c r="G9" s="4" t="s">
        <v>31</v>
      </c>
      <c r="H9" s="4" t="s">
        <v>32</v>
      </c>
      <c r="I9" s="4"/>
      <c r="J9" s="4" t="s">
        <v>33</v>
      </c>
      <c r="K9" s="4"/>
      <c r="L9" s="4" t="s">
        <v>27</v>
      </c>
      <c r="M9" s="4"/>
    </row>
    <row r="10" spans="1:13">
      <c r="A10" s="4" t="s">
        <v>20</v>
      </c>
      <c r="B10" s="4" t="s">
        <v>20</v>
      </c>
      <c r="C10" s="4" t="s">
        <v>34</v>
      </c>
      <c r="D10" s="4" t="s">
        <v>35</v>
      </c>
      <c r="E10" s="4" t="s">
        <v>23</v>
      </c>
      <c r="F10" s="4"/>
      <c r="G10" s="4" t="s">
        <v>36</v>
      </c>
      <c r="H10" s="4"/>
      <c r="I10" s="4"/>
      <c r="J10" s="4" t="s">
        <v>37</v>
      </c>
      <c r="K10" s="4"/>
      <c r="L10" s="4" t="s">
        <v>27</v>
      </c>
      <c r="M10" s="4"/>
    </row>
    <row r="11" spans="1:13">
      <c r="A11" s="4" t="s">
        <v>20</v>
      </c>
      <c r="B11" s="4" t="s">
        <v>20</v>
      </c>
      <c r="C11" s="4" t="s">
        <v>38</v>
      </c>
      <c r="D11" s="4" t="s">
        <v>39</v>
      </c>
      <c r="E11" s="4" t="s">
        <v>23</v>
      </c>
      <c r="F11" s="4"/>
      <c r="G11" s="4" t="s">
        <v>40</v>
      </c>
      <c r="H11" s="4"/>
      <c r="I11" s="4"/>
      <c r="J11" s="4" t="s">
        <v>41</v>
      </c>
      <c r="K11" s="4"/>
      <c r="L11" s="4" t="s">
        <v>27</v>
      </c>
      <c r="M11" s="4"/>
    </row>
    <row r="12" spans="1:13">
      <c r="A12" s="4" t="s">
        <v>20</v>
      </c>
      <c r="B12" s="4" t="s">
        <v>20</v>
      </c>
      <c r="C12" s="4" t="s">
        <v>42</v>
      </c>
      <c r="D12" s="4" t="s">
        <v>43</v>
      </c>
      <c r="E12" s="4" t="s">
        <v>44</v>
      </c>
      <c r="F12" s="4"/>
      <c r="G12" s="4" t="s">
        <v>45</v>
      </c>
      <c r="H12" s="4"/>
      <c r="I12" s="4"/>
      <c r="J12" s="4" t="s">
        <v>46</v>
      </c>
      <c r="K12" s="4"/>
      <c r="L12" s="4" t="s">
        <v>27</v>
      </c>
      <c r="M12" s="4"/>
    </row>
    <row r="13" spans="1:13">
      <c r="A13" s="4" t="s">
        <v>20</v>
      </c>
      <c r="B13" s="4" t="s">
        <v>20</v>
      </c>
      <c r="C13" s="4" t="s">
        <v>47</v>
      </c>
      <c r="D13" s="4" t="s">
        <v>48</v>
      </c>
      <c r="E13" s="4" t="s">
        <v>44</v>
      </c>
      <c r="F13" s="4"/>
      <c r="G13" s="4" t="s">
        <v>49</v>
      </c>
      <c r="H13" s="4"/>
      <c r="I13" s="4"/>
      <c r="J13" s="4" t="s">
        <v>50</v>
      </c>
      <c r="K13" s="4"/>
      <c r="L13" s="4" t="s">
        <v>27</v>
      </c>
      <c r="M13" s="4"/>
    </row>
    <row r="14" spans="1:13">
      <c r="A14" s="4" t="s">
        <v>20</v>
      </c>
      <c r="B14" s="4" t="s">
        <v>20</v>
      </c>
      <c r="C14" s="4" t="s">
        <v>51</v>
      </c>
      <c r="D14" s="4" t="s">
        <v>52</v>
      </c>
      <c r="E14" s="4" t="s">
        <v>44</v>
      </c>
      <c r="F14" s="4"/>
      <c r="G14" s="4" t="s">
        <v>53</v>
      </c>
      <c r="H14" s="4" t="s">
        <v>54</v>
      </c>
      <c r="I14" s="4"/>
      <c r="J14" s="4" t="s">
        <v>55</v>
      </c>
      <c r="K14" s="4"/>
      <c r="L14" s="4" t="s">
        <v>27</v>
      </c>
      <c r="M14" s="4"/>
    </row>
    <row r="15" spans="1:13">
      <c r="A15" s="4" t="s">
        <v>20</v>
      </c>
      <c r="B15" s="4" t="s">
        <v>20</v>
      </c>
      <c r="C15" s="4" t="s">
        <v>56</v>
      </c>
      <c r="D15" s="4" t="s">
        <v>57</v>
      </c>
      <c r="E15" s="4" t="s">
        <v>44</v>
      </c>
      <c r="F15" s="4" t="s">
        <v>58</v>
      </c>
      <c r="G15" s="4" t="s">
        <v>59</v>
      </c>
      <c r="H15" s="4"/>
      <c r="I15" s="4"/>
      <c r="J15" s="4" t="s">
        <v>60</v>
      </c>
      <c r="K15" s="4"/>
      <c r="L15" s="4" t="s">
        <v>27</v>
      </c>
      <c r="M15" s="4"/>
    </row>
    <row r="16" spans="1:13">
      <c r="A16" s="4" t="s">
        <v>20</v>
      </c>
      <c r="B16" s="4" t="s">
        <v>20</v>
      </c>
      <c r="C16" s="4" t="s">
        <v>61</v>
      </c>
      <c r="D16" s="4" t="s">
        <v>62</v>
      </c>
      <c r="E16" s="4" t="s">
        <v>23</v>
      </c>
      <c r="F16" s="4" t="s">
        <v>63</v>
      </c>
      <c r="G16" s="4" t="s">
        <v>64</v>
      </c>
      <c r="H16" s="4"/>
      <c r="I16" s="4"/>
      <c r="J16" s="4" t="s">
        <v>65</v>
      </c>
      <c r="K16" s="4"/>
      <c r="L16" s="4" t="s">
        <v>27</v>
      </c>
      <c r="M16" s="4"/>
    </row>
    <row r="17" spans="1:13">
      <c r="A17" s="4" t="s">
        <v>20</v>
      </c>
      <c r="B17" s="4" t="s">
        <v>20</v>
      </c>
      <c r="C17" s="4" t="s">
        <v>66</v>
      </c>
      <c r="D17" s="4" t="s">
        <v>67</v>
      </c>
      <c r="E17" s="4" t="s">
        <v>44</v>
      </c>
      <c r="F17" s="4" t="s">
        <v>68</v>
      </c>
      <c r="G17" s="4" t="s">
        <v>69</v>
      </c>
      <c r="H17" s="4"/>
      <c r="I17" s="4"/>
      <c r="J17" s="4" t="s">
        <v>70</v>
      </c>
      <c r="K17" s="4"/>
      <c r="L17" s="4" t="s">
        <v>27</v>
      </c>
      <c r="M17" s="4"/>
    </row>
    <row r="18" spans="1:13">
      <c r="A18" s="4" t="s">
        <v>20</v>
      </c>
      <c r="B18" s="4" t="s">
        <v>20</v>
      </c>
      <c r="C18" s="4" t="s">
        <v>71</v>
      </c>
      <c r="D18" s="4" t="s">
        <v>72</v>
      </c>
      <c r="E18" s="4" t="s">
        <v>73</v>
      </c>
      <c r="F18" s="4"/>
      <c r="G18" s="4" t="s">
        <v>74</v>
      </c>
      <c r="H18" s="4"/>
      <c r="I18" s="4"/>
      <c r="J18" s="4" t="s">
        <v>75</v>
      </c>
      <c r="K18" s="4"/>
      <c r="L18" s="4" t="s">
        <v>27</v>
      </c>
      <c r="M18" s="4"/>
    </row>
    <row r="19" spans="1:13">
      <c r="A19" s="4" t="s">
        <v>20</v>
      </c>
      <c r="B19" s="4" t="s">
        <v>20</v>
      </c>
      <c r="C19" s="4" t="s">
        <v>76</v>
      </c>
      <c r="D19" s="4" t="s">
        <v>77</v>
      </c>
      <c r="E19" s="4" t="s">
        <v>23</v>
      </c>
      <c r="F19" s="4"/>
      <c r="G19" s="4" t="s">
        <v>78</v>
      </c>
      <c r="H19" s="4"/>
      <c r="I19" s="4"/>
      <c r="J19" s="4" t="s">
        <v>79</v>
      </c>
      <c r="K19" s="4"/>
      <c r="L19" s="4" t="s">
        <v>27</v>
      </c>
      <c r="M19" s="4"/>
    </row>
    <row r="20" spans="1:13">
      <c r="A20" s="3"/>
      <c r="B20" s="3"/>
      <c r="C20" s="3" t="s">
        <v>80</v>
      </c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>
      <c r="A21" s="4" t="s">
        <v>20</v>
      </c>
      <c r="B21" s="4" t="s">
        <v>20</v>
      </c>
      <c r="C21" s="4" t="s">
        <v>81</v>
      </c>
      <c r="D21" s="4" t="s">
        <v>82</v>
      </c>
      <c r="E21" s="4" t="s">
        <v>23</v>
      </c>
      <c r="F21" s="4"/>
      <c r="G21" s="4" t="s">
        <v>83</v>
      </c>
      <c r="H21" s="4"/>
      <c r="I21" s="4"/>
      <c r="J21" s="4" t="s">
        <v>84</v>
      </c>
      <c r="K21" s="4"/>
      <c r="L21" s="4" t="s">
        <v>27</v>
      </c>
      <c r="M21" s="4"/>
    </row>
    <row r="22" spans="1:13">
      <c r="A22" s="4" t="s">
        <v>20</v>
      </c>
      <c r="B22" s="4" t="s">
        <v>20</v>
      </c>
      <c r="C22" s="4" t="s">
        <v>85</v>
      </c>
      <c r="D22" s="4" t="s">
        <v>86</v>
      </c>
      <c r="E22" s="4" t="s">
        <v>23</v>
      </c>
      <c r="F22" s="4"/>
      <c r="G22" s="4" t="s">
        <v>87</v>
      </c>
      <c r="H22" s="4"/>
      <c r="I22" s="4"/>
      <c r="J22" s="4" t="s">
        <v>88</v>
      </c>
      <c r="K22" s="4"/>
      <c r="L22" s="4" t="s">
        <v>27</v>
      </c>
      <c r="M22" s="4"/>
    </row>
    <row r="23" spans="1:13">
      <c r="A23" s="4" t="s">
        <v>20</v>
      </c>
      <c r="B23" s="4" t="s">
        <v>20</v>
      </c>
      <c r="C23" s="4" t="s">
        <v>89</v>
      </c>
      <c r="D23" s="4" t="s">
        <v>90</v>
      </c>
      <c r="E23" s="4" t="s">
        <v>23</v>
      </c>
      <c r="F23" s="4"/>
      <c r="G23" s="4" t="s">
        <v>91</v>
      </c>
      <c r="H23" s="4"/>
      <c r="I23" s="4"/>
      <c r="J23" s="4" t="s">
        <v>92</v>
      </c>
      <c r="K23" s="4"/>
      <c r="L23" s="4" t="s">
        <v>27</v>
      </c>
      <c r="M23" s="4"/>
    </row>
    <row r="24" spans="1:13">
      <c r="A24" s="4" t="s">
        <v>20</v>
      </c>
      <c r="B24" s="4" t="s">
        <v>20</v>
      </c>
      <c r="C24" s="4" t="s">
        <v>93</v>
      </c>
      <c r="D24" s="4" t="s">
        <v>94</v>
      </c>
      <c r="E24" s="4" t="s">
        <v>23</v>
      </c>
      <c r="F24" s="4"/>
      <c r="G24" s="4" t="s">
        <v>95</v>
      </c>
      <c r="H24" s="4"/>
      <c r="I24" s="4"/>
      <c r="J24" s="4" t="s">
        <v>96</v>
      </c>
      <c r="K24" s="4"/>
      <c r="L24" s="4" t="s">
        <v>27</v>
      </c>
      <c r="M24" s="4"/>
    </row>
    <row r="25" spans="1:13">
      <c r="A25" s="4" t="s">
        <v>20</v>
      </c>
      <c r="B25" s="4" t="s">
        <v>20</v>
      </c>
      <c r="C25" s="4" t="s">
        <v>97</v>
      </c>
      <c r="D25" s="4" t="s">
        <v>98</v>
      </c>
      <c r="E25" s="4" t="s">
        <v>23</v>
      </c>
      <c r="F25" s="4"/>
      <c r="G25" s="4" t="s">
        <v>99</v>
      </c>
      <c r="H25" s="4"/>
      <c r="I25" s="4"/>
      <c r="J25" s="4" t="s">
        <v>100</v>
      </c>
      <c r="K25" s="4"/>
      <c r="L25" s="4" t="s">
        <v>27</v>
      </c>
      <c r="M25" s="4"/>
    </row>
    <row r="26" spans="1:13">
      <c r="A26" s="4" t="s">
        <v>20</v>
      </c>
      <c r="B26" s="4" t="s">
        <v>20</v>
      </c>
      <c r="C26" s="4" t="s">
        <v>101</v>
      </c>
      <c r="D26" s="4" t="s">
        <v>102</v>
      </c>
      <c r="E26" s="4" t="s">
        <v>23</v>
      </c>
      <c r="F26" s="4"/>
      <c r="G26" s="4" t="s">
        <v>103</v>
      </c>
      <c r="H26" s="4"/>
      <c r="I26" s="4"/>
      <c r="J26" s="4" t="s">
        <v>104</v>
      </c>
      <c r="K26" s="4"/>
      <c r="L26" s="4" t="s">
        <v>27</v>
      </c>
      <c r="M26" s="4"/>
    </row>
    <row r="27" spans="1:13">
      <c r="A27" s="4" t="s">
        <v>20</v>
      </c>
      <c r="B27" s="4" t="s">
        <v>20</v>
      </c>
      <c r="C27" s="4" t="s">
        <v>105</v>
      </c>
      <c r="D27" s="4" t="s">
        <v>106</v>
      </c>
      <c r="E27" s="4" t="s">
        <v>23</v>
      </c>
      <c r="F27" s="4"/>
      <c r="G27" s="4" t="s">
        <v>107</v>
      </c>
      <c r="H27" s="4"/>
      <c r="I27" s="4"/>
      <c r="J27" s="4" t="s">
        <v>108</v>
      </c>
      <c r="K27" s="4"/>
      <c r="L27" s="4" t="s">
        <v>27</v>
      </c>
      <c r="M27" s="4"/>
    </row>
    <row r="28" spans="1:13">
      <c r="A28" s="4" t="s">
        <v>20</v>
      </c>
      <c r="B28" s="4" t="s">
        <v>20</v>
      </c>
      <c r="C28" s="4" t="s">
        <v>109</v>
      </c>
      <c r="D28" s="4" t="s">
        <v>110</v>
      </c>
      <c r="E28" s="4" t="s">
        <v>44</v>
      </c>
      <c r="F28" s="4"/>
      <c r="G28" s="4" t="s">
        <v>111</v>
      </c>
      <c r="H28" s="4"/>
      <c r="I28" s="4"/>
      <c r="J28" s="4" t="s">
        <v>112</v>
      </c>
      <c r="K28" s="4"/>
      <c r="L28" s="4" t="s">
        <v>27</v>
      </c>
      <c r="M28" s="4"/>
    </row>
    <row r="29" spans="1:13">
      <c r="A29" s="4" t="s">
        <v>20</v>
      </c>
      <c r="B29" s="4" t="s">
        <v>20</v>
      </c>
      <c r="C29" s="4" t="s">
        <v>113</v>
      </c>
      <c r="D29" s="4" t="s">
        <v>114</v>
      </c>
      <c r="E29" s="4" t="s">
        <v>73</v>
      </c>
      <c r="F29" s="4"/>
      <c r="G29" s="4" t="s">
        <v>115</v>
      </c>
      <c r="H29" s="4"/>
      <c r="I29" s="4"/>
      <c r="J29" s="4" t="s">
        <v>116</v>
      </c>
      <c r="K29" s="4"/>
      <c r="L29" s="4" t="s">
        <v>27</v>
      </c>
      <c r="M29" s="4"/>
    </row>
    <row r="30" spans="1:13">
      <c r="A30" s="4" t="s">
        <v>20</v>
      </c>
      <c r="B30" s="4" t="s">
        <v>20</v>
      </c>
      <c r="C30" s="4" t="s">
        <v>117</v>
      </c>
      <c r="D30" s="4" t="s">
        <v>118</v>
      </c>
      <c r="E30" s="4" t="s">
        <v>44</v>
      </c>
      <c r="F30" s="4"/>
      <c r="G30" s="4" t="s">
        <v>119</v>
      </c>
      <c r="H30" s="4"/>
      <c r="I30" s="4"/>
      <c r="J30" s="4" t="s">
        <v>120</v>
      </c>
      <c r="K30" s="4"/>
      <c r="L30" s="4" t="s">
        <v>27</v>
      </c>
      <c r="M30" s="4"/>
    </row>
    <row r="31" spans="1:13">
      <c r="A31" s="3"/>
      <c r="B31" s="3"/>
      <c r="C31" s="3" t="s">
        <v>121</v>
      </c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>
      <c r="A32" s="4" t="s">
        <v>20</v>
      </c>
      <c r="B32" s="4" t="s">
        <v>20</v>
      </c>
      <c r="C32" s="4" t="s">
        <v>122</v>
      </c>
      <c r="D32" s="4" t="s">
        <v>123</v>
      </c>
      <c r="E32" s="4" t="s">
        <v>23</v>
      </c>
      <c r="F32" s="4" t="s">
        <v>124</v>
      </c>
      <c r="G32" s="4" t="s">
        <v>125</v>
      </c>
      <c r="H32" s="4"/>
      <c r="I32" s="4"/>
      <c r="J32" s="4" t="s">
        <v>126</v>
      </c>
      <c r="K32" s="4"/>
      <c r="L32" s="4" t="s">
        <v>27</v>
      </c>
      <c r="M32" s="4"/>
    </row>
    <row r="33" spans="1:13">
      <c r="A33" s="4" t="s">
        <v>20</v>
      </c>
      <c r="B33" s="4" t="s">
        <v>20</v>
      </c>
      <c r="C33" s="4" t="s">
        <v>127</v>
      </c>
      <c r="D33" s="4" t="s">
        <v>128</v>
      </c>
      <c r="E33" s="4" t="s">
        <v>23</v>
      </c>
      <c r="F33" s="4" t="s">
        <v>129</v>
      </c>
      <c r="G33" s="4" t="s">
        <v>130</v>
      </c>
      <c r="H33" s="4"/>
      <c r="I33" s="4"/>
      <c r="J33" s="4" t="s">
        <v>131</v>
      </c>
      <c r="K33" s="4"/>
      <c r="L33" s="4" t="s">
        <v>27</v>
      </c>
      <c r="M33" s="4"/>
    </row>
    <row r="34" spans="1:13">
      <c r="A34" s="4" t="s">
        <v>20</v>
      </c>
      <c r="B34" s="4" t="s">
        <v>20</v>
      </c>
      <c r="C34" s="4" t="s">
        <v>132</v>
      </c>
      <c r="D34" s="4" t="s">
        <v>133</v>
      </c>
      <c r="E34" s="4" t="s">
        <v>23</v>
      </c>
      <c r="F34" s="4" t="s">
        <v>134</v>
      </c>
      <c r="G34" s="4" t="s">
        <v>135</v>
      </c>
      <c r="H34" s="4"/>
      <c r="I34" s="4"/>
      <c r="J34" s="4" t="s">
        <v>136</v>
      </c>
      <c r="K34" s="4"/>
      <c r="L34" s="4" t="s">
        <v>27</v>
      </c>
      <c r="M34" s="4"/>
    </row>
    <row r="35" spans="1:13">
      <c r="A35" s="4" t="s">
        <v>20</v>
      </c>
      <c r="B35" s="4" t="s">
        <v>20</v>
      </c>
      <c r="C35" s="4" t="s">
        <v>137</v>
      </c>
      <c r="D35" s="4" t="s">
        <v>138</v>
      </c>
      <c r="E35" s="4" t="s">
        <v>23</v>
      </c>
      <c r="F35" s="4"/>
      <c r="G35" s="4" t="s">
        <v>139</v>
      </c>
      <c r="H35" s="4"/>
      <c r="I35" s="4"/>
      <c r="J35" s="4" t="s">
        <v>140</v>
      </c>
      <c r="K35" s="4"/>
      <c r="L35" s="4" t="s">
        <v>27</v>
      </c>
      <c r="M35" s="4"/>
    </row>
    <row r="36" spans="1:13">
      <c r="A36" s="4" t="s">
        <v>20</v>
      </c>
      <c r="B36" s="4" t="s">
        <v>20</v>
      </c>
      <c r="C36" s="4" t="s">
        <v>141</v>
      </c>
      <c r="D36" s="4" t="s">
        <v>142</v>
      </c>
      <c r="E36" s="4" t="s">
        <v>23</v>
      </c>
      <c r="F36" s="4"/>
      <c r="G36" s="4" t="s">
        <v>143</v>
      </c>
      <c r="H36" s="4"/>
      <c r="I36" s="4"/>
      <c r="J36" s="4" t="s">
        <v>144</v>
      </c>
      <c r="K36" s="4"/>
      <c r="L36" s="4" t="s">
        <v>27</v>
      </c>
      <c r="M36" s="4"/>
    </row>
    <row r="37" spans="1:13">
      <c r="A37" s="3"/>
      <c r="B37" s="3"/>
      <c r="C37" s="3" t="s">
        <v>145</v>
      </c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>
      <c r="A38" s="4" t="s">
        <v>20</v>
      </c>
      <c r="B38" s="4" t="s">
        <v>20</v>
      </c>
      <c r="C38" s="4" t="s">
        <v>146</v>
      </c>
      <c r="D38" s="4" t="s">
        <v>147</v>
      </c>
      <c r="E38" s="4" t="s">
        <v>23</v>
      </c>
      <c r="F38" s="4" t="s">
        <v>148</v>
      </c>
      <c r="G38" s="4" t="s">
        <v>149</v>
      </c>
      <c r="H38" s="4"/>
      <c r="I38" s="4"/>
      <c r="J38" s="4" t="s">
        <v>150</v>
      </c>
      <c r="K38" s="4"/>
      <c r="L38" s="4" t="s">
        <v>27</v>
      </c>
      <c r="M38" s="4"/>
    </row>
    <row r="39" spans="1:13">
      <c r="A39" s="4" t="s">
        <v>20</v>
      </c>
      <c r="B39" s="4" t="s">
        <v>20</v>
      </c>
      <c r="C39" s="4" t="s">
        <v>151</v>
      </c>
      <c r="D39" s="4" t="s">
        <v>152</v>
      </c>
      <c r="E39" s="4" t="s">
        <v>23</v>
      </c>
      <c r="F39" s="4" t="s">
        <v>129</v>
      </c>
      <c r="G39" s="4" t="s">
        <v>153</v>
      </c>
      <c r="H39" s="4"/>
      <c r="I39" s="4"/>
      <c r="J39" s="4" t="s">
        <v>154</v>
      </c>
      <c r="K39" s="4"/>
      <c r="L39" s="4" t="s">
        <v>27</v>
      </c>
      <c r="M39" s="4"/>
    </row>
    <row r="40" spans="1:13">
      <c r="A40" s="4" t="s">
        <v>20</v>
      </c>
      <c r="B40" s="4" t="s">
        <v>20</v>
      </c>
      <c r="C40" s="4" t="s">
        <v>155</v>
      </c>
      <c r="D40" s="4" t="s">
        <v>156</v>
      </c>
      <c r="E40" s="4" t="s">
        <v>23</v>
      </c>
      <c r="F40" s="4" t="s">
        <v>157</v>
      </c>
      <c r="G40" s="4" t="s">
        <v>153</v>
      </c>
      <c r="H40" s="4"/>
      <c r="I40" s="4"/>
      <c r="J40" s="4" t="s">
        <v>154</v>
      </c>
      <c r="K40" s="4"/>
      <c r="L40" s="4" t="s">
        <v>27</v>
      </c>
      <c r="M40" s="4"/>
    </row>
    <row r="41" spans="1:13">
      <c r="A41" s="4" t="s">
        <v>20</v>
      </c>
      <c r="B41" s="4" t="s">
        <v>20</v>
      </c>
      <c r="C41" s="4" t="s">
        <v>158</v>
      </c>
      <c r="D41" s="4" t="s">
        <v>159</v>
      </c>
      <c r="E41" s="4" t="s">
        <v>44</v>
      </c>
      <c r="F41" s="4"/>
      <c r="G41" s="4" t="s">
        <v>160</v>
      </c>
      <c r="H41" s="4"/>
      <c r="I41" s="4"/>
      <c r="J41" s="4" t="s">
        <v>161</v>
      </c>
      <c r="K41" s="4"/>
      <c r="L41" s="4" t="s">
        <v>27</v>
      </c>
      <c r="M41" s="4"/>
    </row>
    <row r="42" spans="1:13">
      <c r="A42" s="3"/>
      <c r="B42" s="3"/>
      <c r="C42" s="3" t="s">
        <v>162</v>
      </c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1:13">
      <c r="A43" s="4" t="s">
        <v>20</v>
      </c>
      <c r="B43" s="4" t="s">
        <v>20</v>
      </c>
      <c r="C43" s="4" t="s">
        <v>163</v>
      </c>
      <c r="D43" s="4" t="s">
        <v>164</v>
      </c>
      <c r="E43" s="4" t="s">
        <v>23</v>
      </c>
      <c r="F43" s="4"/>
      <c r="G43" s="4" t="s">
        <v>165</v>
      </c>
      <c r="H43" s="4"/>
      <c r="I43" s="4"/>
      <c r="J43" s="4" t="s">
        <v>166</v>
      </c>
      <c r="K43" s="4"/>
      <c r="L43" s="4" t="s">
        <v>27</v>
      </c>
      <c r="M43" s="4"/>
    </row>
    <row r="44" spans="1:13">
      <c r="A44" s="4" t="s">
        <v>20</v>
      </c>
      <c r="B44" s="4" t="s">
        <v>20</v>
      </c>
      <c r="C44" s="4" t="s">
        <v>167</v>
      </c>
      <c r="D44" s="4" t="s">
        <v>168</v>
      </c>
      <c r="E44" s="4" t="s">
        <v>44</v>
      </c>
      <c r="F44" s="4"/>
      <c r="G44" s="4" t="s">
        <v>169</v>
      </c>
      <c r="H44" s="4"/>
      <c r="I44" s="4"/>
      <c r="J44" s="4" t="s">
        <v>170</v>
      </c>
      <c r="K44" s="4"/>
      <c r="L44" s="4" t="s">
        <v>27</v>
      </c>
      <c r="M44" s="4"/>
    </row>
    <row r="45" spans="1:13">
      <c r="A45" s="4" t="s">
        <v>20</v>
      </c>
      <c r="B45" s="4" t="s">
        <v>20</v>
      </c>
      <c r="C45" s="4" t="s">
        <v>171</v>
      </c>
      <c r="D45" s="4" t="s">
        <v>172</v>
      </c>
      <c r="E45" s="4" t="s">
        <v>23</v>
      </c>
      <c r="F45" s="4"/>
      <c r="G45" s="4" t="s">
        <v>173</v>
      </c>
      <c r="H45" s="4"/>
      <c r="I45" s="4"/>
      <c r="J45" s="4" t="s">
        <v>174</v>
      </c>
      <c r="K45" s="4"/>
      <c r="L45" s="4" t="s">
        <v>27</v>
      </c>
      <c r="M45" s="4"/>
    </row>
    <row r="46" spans="1:13">
      <c r="A46" s="4" t="s">
        <v>20</v>
      </c>
      <c r="B46" s="4" t="s">
        <v>20</v>
      </c>
      <c r="C46" s="4" t="s">
        <v>175</v>
      </c>
      <c r="D46" s="4" t="s">
        <v>176</v>
      </c>
      <c r="E46" s="4" t="s">
        <v>23</v>
      </c>
      <c r="F46" s="4"/>
      <c r="G46" s="4" t="s">
        <v>177</v>
      </c>
      <c r="H46" s="4"/>
      <c r="I46" s="4"/>
      <c r="J46" s="4" t="s">
        <v>178</v>
      </c>
      <c r="K46" s="4"/>
      <c r="L46" s="4" t="s">
        <v>27</v>
      </c>
      <c r="M46" s="4"/>
    </row>
    <row r="47" spans="1:13">
      <c r="A47" s="4" t="s">
        <v>20</v>
      </c>
      <c r="B47" s="4" t="s">
        <v>20</v>
      </c>
      <c r="C47" s="4" t="s">
        <v>179</v>
      </c>
      <c r="D47" s="4" t="s">
        <v>180</v>
      </c>
      <c r="E47" s="4" t="s">
        <v>23</v>
      </c>
      <c r="F47" s="4"/>
      <c r="G47" s="4" t="s">
        <v>181</v>
      </c>
      <c r="H47" s="4"/>
      <c r="I47" s="4"/>
      <c r="J47" s="4" t="s">
        <v>182</v>
      </c>
      <c r="K47" s="4"/>
      <c r="L47" s="4" t="s">
        <v>27</v>
      </c>
      <c r="M47" s="4"/>
    </row>
    <row r="48" spans="1:13">
      <c r="A48" s="4" t="s">
        <v>20</v>
      </c>
      <c r="B48" s="4" t="s">
        <v>20</v>
      </c>
      <c r="C48" s="4" t="s">
        <v>183</v>
      </c>
      <c r="D48" s="4" t="s">
        <v>184</v>
      </c>
      <c r="E48" s="4" t="s">
        <v>44</v>
      </c>
      <c r="F48" s="4"/>
      <c r="G48" s="4" t="s">
        <v>185</v>
      </c>
      <c r="H48" s="4"/>
      <c r="I48" s="4"/>
      <c r="J48" s="4" t="s">
        <v>186</v>
      </c>
      <c r="K48" s="4"/>
      <c r="L48" s="4" t="s">
        <v>27</v>
      </c>
      <c r="M48" s="4"/>
    </row>
    <row r="49" spans="1:13">
      <c r="A49" s="4" t="s">
        <v>20</v>
      </c>
      <c r="B49" s="4" t="s">
        <v>20</v>
      </c>
      <c r="C49" s="4" t="s">
        <v>187</v>
      </c>
      <c r="D49" s="4" t="s">
        <v>188</v>
      </c>
      <c r="E49" s="4" t="s">
        <v>44</v>
      </c>
      <c r="F49" s="4"/>
      <c r="G49" s="4" t="s">
        <v>189</v>
      </c>
      <c r="H49" s="4"/>
      <c r="I49" s="4"/>
      <c r="J49" s="4" t="s">
        <v>190</v>
      </c>
      <c r="K49" s="4"/>
      <c r="L49" s="4" t="s">
        <v>27</v>
      </c>
      <c r="M49" s="4"/>
    </row>
    <row r="50" spans="1:13">
      <c r="A50" s="4" t="s">
        <v>20</v>
      </c>
      <c r="B50" s="4" t="s">
        <v>20</v>
      </c>
      <c r="C50" s="4" t="s">
        <v>191</v>
      </c>
      <c r="D50" s="4" t="s">
        <v>192</v>
      </c>
      <c r="E50" s="4" t="s">
        <v>23</v>
      </c>
      <c r="F50" s="4"/>
      <c r="G50" s="4" t="s">
        <v>193</v>
      </c>
      <c r="H50" s="4"/>
      <c r="I50" s="4"/>
      <c r="J50" s="4" t="s">
        <v>194</v>
      </c>
      <c r="K50" s="4"/>
      <c r="L50" s="4" t="s">
        <v>27</v>
      </c>
      <c r="M50" s="4"/>
    </row>
    <row r="51" spans="1:13">
      <c r="A51" s="3"/>
      <c r="B51" s="3"/>
      <c r="C51" s="3" t="s">
        <v>195</v>
      </c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>
      <c r="A52" s="4" t="s">
        <v>20</v>
      </c>
      <c r="B52" s="4" t="s">
        <v>20</v>
      </c>
      <c r="C52" s="4" t="s">
        <v>196</v>
      </c>
      <c r="D52" s="4" t="s">
        <v>197</v>
      </c>
      <c r="E52" s="4" t="s">
        <v>23</v>
      </c>
      <c r="F52" s="4"/>
      <c r="G52" s="4" t="s">
        <v>198</v>
      </c>
      <c r="H52" s="4"/>
      <c r="I52" s="4"/>
      <c r="J52" s="4" t="s">
        <v>199</v>
      </c>
      <c r="K52" s="4"/>
      <c r="L52" s="4" t="s">
        <v>27</v>
      </c>
      <c r="M52" s="4"/>
    </row>
    <row r="53" spans="1:13">
      <c r="A53" s="4" t="s">
        <v>20</v>
      </c>
      <c r="B53" s="4" t="s">
        <v>20</v>
      </c>
      <c r="C53" s="4" t="s">
        <v>200</v>
      </c>
      <c r="D53" s="4" t="s">
        <v>201</v>
      </c>
      <c r="E53" s="4" t="s">
        <v>23</v>
      </c>
      <c r="F53" s="4"/>
      <c r="G53" s="4" t="s">
        <v>202</v>
      </c>
      <c r="H53" s="4"/>
      <c r="I53" s="4"/>
      <c r="J53" s="4" t="s">
        <v>203</v>
      </c>
      <c r="K53" s="4"/>
      <c r="L53" s="4" t="s">
        <v>27</v>
      </c>
      <c r="M53" s="4"/>
    </row>
    <row r="54" spans="1:13">
      <c r="A54" s="4" t="s">
        <v>20</v>
      </c>
      <c r="B54" s="4" t="s">
        <v>20</v>
      </c>
      <c r="C54" s="4" t="s">
        <v>204</v>
      </c>
      <c r="D54" s="4" t="s">
        <v>205</v>
      </c>
      <c r="E54" s="4" t="s">
        <v>23</v>
      </c>
      <c r="F54" s="4"/>
      <c r="G54" s="4" t="s">
        <v>206</v>
      </c>
      <c r="H54" s="4"/>
      <c r="I54" s="4"/>
      <c r="J54" s="4" t="s">
        <v>207</v>
      </c>
      <c r="K54" s="4"/>
      <c r="L54" s="4" t="s">
        <v>27</v>
      </c>
      <c r="M54" s="4"/>
    </row>
    <row r="55" spans="1:13">
      <c r="A55" s="4" t="s">
        <v>20</v>
      </c>
      <c r="B55" s="4" t="s">
        <v>20</v>
      </c>
      <c r="C55" s="4" t="s">
        <v>208</v>
      </c>
      <c r="D55" s="4" t="s">
        <v>209</v>
      </c>
      <c r="E55" s="4" t="s">
        <v>23</v>
      </c>
      <c r="F55" s="4"/>
      <c r="G55" s="4" t="s">
        <v>210</v>
      </c>
      <c r="H55" s="4"/>
      <c r="I55" s="4"/>
      <c r="J55" s="4" t="s">
        <v>211</v>
      </c>
      <c r="K55" s="4"/>
      <c r="L55" s="4" t="s">
        <v>27</v>
      </c>
      <c r="M55" s="4"/>
    </row>
    <row r="56" spans="1:13">
      <c r="A56" s="4" t="s">
        <v>20</v>
      </c>
      <c r="B56" s="4" t="s">
        <v>20</v>
      </c>
      <c r="C56" s="4" t="s">
        <v>212</v>
      </c>
      <c r="D56" s="4" t="s">
        <v>213</v>
      </c>
      <c r="E56" s="4" t="s">
        <v>44</v>
      </c>
      <c r="F56" s="4"/>
      <c r="G56" s="4" t="s">
        <v>214</v>
      </c>
      <c r="H56" s="4"/>
      <c r="I56" s="4"/>
      <c r="J56" s="4" t="s">
        <v>215</v>
      </c>
      <c r="K56" s="4"/>
      <c r="L56" s="4" t="s">
        <v>27</v>
      </c>
      <c r="M56" s="4"/>
    </row>
    <row r="57" spans="1:13">
      <c r="A57" s="4" t="s">
        <v>20</v>
      </c>
      <c r="B57" s="4" t="s">
        <v>20</v>
      </c>
      <c r="C57" s="4" t="s">
        <v>216</v>
      </c>
      <c r="D57" s="4" t="s">
        <v>217</v>
      </c>
      <c r="E57" s="4" t="s">
        <v>23</v>
      </c>
      <c r="F57" s="4"/>
      <c r="G57" s="4" t="s">
        <v>218</v>
      </c>
      <c r="H57" s="4"/>
      <c r="I57" s="4"/>
      <c r="J57" s="4" t="s">
        <v>219</v>
      </c>
      <c r="K57" s="4"/>
      <c r="L57" s="4" t="s">
        <v>27</v>
      </c>
      <c r="M57" s="4"/>
    </row>
    <row r="58" spans="1:13">
      <c r="A58" s="4" t="s">
        <v>20</v>
      </c>
      <c r="B58" s="4" t="s">
        <v>20</v>
      </c>
      <c r="C58" s="4" t="s">
        <v>220</v>
      </c>
      <c r="D58" s="4" t="s">
        <v>221</v>
      </c>
      <c r="E58" s="4" t="s">
        <v>44</v>
      </c>
      <c r="F58" s="4"/>
      <c r="G58" s="4" t="s">
        <v>222</v>
      </c>
      <c r="H58" s="4"/>
      <c r="I58" s="4"/>
      <c r="J58" s="4" t="s">
        <v>223</v>
      </c>
      <c r="K58" s="4"/>
      <c r="L58" s="4" t="s">
        <v>27</v>
      </c>
      <c r="M58" s="4"/>
    </row>
    <row r="59" spans="1:13">
      <c r="A59" s="4" t="s">
        <v>20</v>
      </c>
      <c r="B59" s="4" t="s">
        <v>20</v>
      </c>
      <c r="C59" s="4" t="s">
        <v>224</v>
      </c>
      <c r="D59" s="4" t="s">
        <v>225</v>
      </c>
      <c r="E59" s="4" t="s">
        <v>23</v>
      </c>
      <c r="F59" s="4"/>
      <c r="G59" s="4" t="s">
        <v>226</v>
      </c>
      <c r="H59" s="4"/>
      <c r="I59" s="4"/>
      <c r="J59" s="4" t="s">
        <v>227</v>
      </c>
      <c r="K59" s="4"/>
      <c r="L59" s="4" t="s">
        <v>27</v>
      </c>
      <c r="M59" s="4"/>
    </row>
    <row r="60" spans="1:13">
      <c r="A60" s="4" t="s">
        <v>20</v>
      </c>
      <c r="B60" s="4" t="s">
        <v>20</v>
      </c>
      <c r="C60" s="4" t="s">
        <v>228</v>
      </c>
      <c r="D60" s="4" t="s">
        <v>229</v>
      </c>
      <c r="E60" s="4" t="s">
        <v>44</v>
      </c>
      <c r="F60" s="4"/>
      <c r="G60" s="4" t="s">
        <v>230</v>
      </c>
      <c r="H60" s="4"/>
      <c r="I60" s="4"/>
      <c r="J60" s="4" t="s">
        <v>231</v>
      </c>
      <c r="K60" s="4"/>
      <c r="L60" s="4" t="s">
        <v>27</v>
      </c>
      <c r="M60" s="4"/>
    </row>
    <row r="61" spans="1:13">
      <c r="A61" s="3"/>
      <c r="B61" s="3"/>
      <c r="C61" s="3" t="s">
        <v>232</v>
      </c>
      <c r="D61" s="3"/>
      <c r="E61" s="3"/>
      <c r="F61" s="3"/>
      <c r="G61" s="3"/>
      <c r="H61" s="3"/>
      <c r="I61" s="3"/>
      <c r="J61" s="3"/>
      <c r="K61" s="3"/>
      <c r="L61" s="3"/>
      <c r="M61" s="3"/>
    </row>
    <row r="62" spans="1:13">
      <c r="A62" s="4" t="s">
        <v>20</v>
      </c>
      <c r="B62" s="4" t="s">
        <v>20</v>
      </c>
      <c r="C62" s="4" t="s">
        <v>233</v>
      </c>
      <c r="D62" s="4" t="s">
        <v>234</v>
      </c>
      <c r="E62" s="4" t="s">
        <v>23</v>
      </c>
      <c r="F62" s="4"/>
      <c r="G62" s="4" t="s">
        <v>235</v>
      </c>
      <c r="H62" s="4"/>
      <c r="I62" s="4"/>
      <c r="J62" s="4" t="s">
        <v>236</v>
      </c>
      <c r="K62" s="4"/>
      <c r="L62" s="4" t="s">
        <v>27</v>
      </c>
      <c r="M62" s="4"/>
    </row>
    <row r="63" spans="1:13">
      <c r="A63" s="4" t="s">
        <v>20</v>
      </c>
      <c r="B63" s="4" t="s">
        <v>20</v>
      </c>
      <c r="C63" s="4" t="s">
        <v>237</v>
      </c>
      <c r="D63" s="4" t="s">
        <v>238</v>
      </c>
      <c r="E63" s="4" t="s">
        <v>23</v>
      </c>
      <c r="F63" s="4"/>
      <c r="G63" s="4" t="s">
        <v>239</v>
      </c>
      <c r="H63" s="4"/>
      <c r="I63" s="4"/>
      <c r="J63" s="4" t="s">
        <v>240</v>
      </c>
      <c r="K63" s="4"/>
      <c r="L63" s="4" t="s">
        <v>27</v>
      </c>
      <c r="M63" s="4"/>
    </row>
    <row r="64" spans="1:13">
      <c r="A64" s="4" t="s">
        <v>20</v>
      </c>
      <c r="B64" s="4" t="s">
        <v>20</v>
      </c>
      <c r="C64" s="4" t="s">
        <v>241</v>
      </c>
      <c r="D64" s="4" t="s">
        <v>242</v>
      </c>
      <c r="E64" s="4" t="s">
        <v>23</v>
      </c>
      <c r="F64" s="4"/>
      <c r="G64" s="4" t="s">
        <v>243</v>
      </c>
      <c r="H64" s="4"/>
      <c r="I64" s="4"/>
      <c r="J64" s="4" t="s">
        <v>244</v>
      </c>
      <c r="K64" s="4"/>
      <c r="L64" s="4" t="s">
        <v>27</v>
      </c>
      <c r="M64" s="4"/>
    </row>
    <row r="65" spans="1:13">
      <c r="A65" s="4" t="s">
        <v>20</v>
      </c>
      <c r="B65" s="4" t="s">
        <v>20</v>
      </c>
      <c r="C65" s="4" t="s">
        <v>245</v>
      </c>
      <c r="D65" s="4" t="s">
        <v>246</v>
      </c>
      <c r="E65" s="4" t="s">
        <v>44</v>
      </c>
      <c r="F65" s="4"/>
      <c r="G65" s="4" t="s">
        <v>247</v>
      </c>
      <c r="H65" s="4"/>
      <c r="I65" s="4"/>
      <c r="J65" s="4" t="s">
        <v>248</v>
      </c>
      <c r="K65" s="4"/>
      <c r="L65" s="4" t="s">
        <v>27</v>
      </c>
      <c r="M65" s="4"/>
    </row>
    <row r="66" spans="1:13">
      <c r="A66" s="4" t="s">
        <v>20</v>
      </c>
      <c r="B66" s="4" t="s">
        <v>20</v>
      </c>
      <c r="C66" s="4" t="s">
        <v>249</v>
      </c>
      <c r="D66" s="4" t="s">
        <v>250</v>
      </c>
      <c r="E66" s="4" t="s">
        <v>44</v>
      </c>
      <c r="F66" s="4"/>
      <c r="G66" s="4" t="s">
        <v>251</v>
      </c>
      <c r="H66" s="4"/>
      <c r="I66" s="4"/>
      <c r="J66" s="4" t="s">
        <v>252</v>
      </c>
      <c r="K66" s="4"/>
      <c r="L66" s="4" t="s">
        <v>27</v>
      </c>
      <c r="M66" s="4"/>
    </row>
    <row r="67" spans="1:13">
      <c r="A67" s="4" t="s">
        <v>20</v>
      </c>
      <c r="B67" s="4" t="s">
        <v>20</v>
      </c>
      <c r="C67" s="4" t="s">
        <v>253</v>
      </c>
      <c r="D67" s="4" t="s">
        <v>254</v>
      </c>
      <c r="E67" s="4" t="s">
        <v>23</v>
      </c>
      <c r="F67" s="4"/>
      <c r="G67" s="4" t="s">
        <v>255</v>
      </c>
      <c r="H67" s="4"/>
      <c r="I67" s="4"/>
      <c r="J67" s="4" t="s">
        <v>256</v>
      </c>
      <c r="K67" s="4"/>
      <c r="L67" s="4" t="s">
        <v>27</v>
      </c>
      <c r="M67" s="4"/>
    </row>
    <row r="68" spans="1:13">
      <c r="A68" s="4" t="s">
        <v>20</v>
      </c>
      <c r="B68" s="4" t="s">
        <v>20</v>
      </c>
      <c r="C68" s="4" t="s">
        <v>257</v>
      </c>
      <c r="D68" s="4" t="s">
        <v>258</v>
      </c>
      <c r="E68" s="4" t="s">
        <v>23</v>
      </c>
      <c r="F68" s="4"/>
      <c r="G68" s="4" t="s">
        <v>259</v>
      </c>
      <c r="H68" s="4"/>
      <c r="I68" s="4"/>
      <c r="J68" s="4" t="s">
        <v>260</v>
      </c>
      <c r="K68" s="4"/>
      <c r="L68" s="4" t="s">
        <v>27</v>
      </c>
      <c r="M68" s="4"/>
    </row>
    <row r="69" spans="1:13">
      <c r="A69" s="4" t="s">
        <v>20</v>
      </c>
      <c r="B69" s="4" t="s">
        <v>20</v>
      </c>
      <c r="C69" s="4" t="s">
        <v>261</v>
      </c>
      <c r="D69" s="4" t="s">
        <v>262</v>
      </c>
      <c r="E69" s="4" t="s">
        <v>44</v>
      </c>
      <c r="F69" s="4"/>
      <c r="G69" s="4" t="s">
        <v>263</v>
      </c>
      <c r="H69" s="4"/>
      <c r="I69" s="4"/>
      <c r="J69" s="4" t="s">
        <v>264</v>
      </c>
      <c r="K69" s="4"/>
      <c r="L69" s="4" t="s">
        <v>27</v>
      </c>
      <c r="M69" s="4"/>
    </row>
    <row r="70" spans="1:13">
      <c r="A70" s="3"/>
      <c r="B70" s="3"/>
      <c r="C70" s="3" t="s">
        <v>265</v>
      </c>
      <c r="D70" s="3"/>
      <c r="E70" s="3"/>
      <c r="F70" s="3"/>
      <c r="G70" s="3"/>
      <c r="H70" s="3"/>
      <c r="I70" s="3"/>
      <c r="J70" s="3"/>
      <c r="K70" s="3"/>
      <c r="L70" s="3"/>
      <c r="M70" s="3"/>
    </row>
    <row r="71" spans="1:13">
      <c r="A71" s="4" t="s">
        <v>20</v>
      </c>
      <c r="B71" s="4" t="s">
        <v>20</v>
      </c>
      <c r="C71" s="4" t="s">
        <v>266</v>
      </c>
      <c r="D71" s="4" t="s">
        <v>267</v>
      </c>
      <c r="E71" s="4" t="s">
        <v>23</v>
      </c>
      <c r="F71" s="4"/>
      <c r="G71" s="4" t="s">
        <v>268</v>
      </c>
      <c r="H71" s="4"/>
      <c r="I71" s="4"/>
      <c r="J71" s="4" t="s">
        <v>269</v>
      </c>
      <c r="K71" s="4"/>
      <c r="L71" s="4" t="s">
        <v>27</v>
      </c>
      <c r="M71" s="4"/>
    </row>
    <row r="72" spans="1:13">
      <c r="A72" s="4" t="s">
        <v>20</v>
      </c>
      <c r="B72" s="4" t="s">
        <v>20</v>
      </c>
      <c r="C72" s="4" t="s">
        <v>270</v>
      </c>
      <c r="D72" s="4" t="s">
        <v>271</v>
      </c>
      <c r="E72" s="4" t="s">
        <v>23</v>
      </c>
      <c r="F72" s="4" t="s">
        <v>272</v>
      </c>
      <c r="G72" s="4" t="s">
        <v>273</v>
      </c>
      <c r="H72" s="4"/>
      <c r="I72" s="4"/>
      <c r="J72" s="4" t="s">
        <v>274</v>
      </c>
      <c r="K72" s="4"/>
      <c r="L72" s="4" t="s">
        <v>27</v>
      </c>
      <c r="M72" s="4"/>
    </row>
    <row r="73" spans="1:13">
      <c r="A73" s="4" t="s">
        <v>20</v>
      </c>
      <c r="B73" s="4" t="s">
        <v>20</v>
      </c>
      <c r="C73" s="4" t="s">
        <v>275</v>
      </c>
      <c r="D73" s="4" t="s">
        <v>276</v>
      </c>
      <c r="E73" s="4" t="s">
        <v>23</v>
      </c>
      <c r="F73" s="4"/>
      <c r="G73" s="4" t="s">
        <v>277</v>
      </c>
      <c r="H73" s="4"/>
      <c r="I73" s="4"/>
      <c r="J73" s="4" t="s">
        <v>278</v>
      </c>
      <c r="K73" s="4"/>
      <c r="L73" s="4" t="s">
        <v>27</v>
      </c>
      <c r="M73" s="4"/>
    </row>
    <row r="74" spans="1:13">
      <c r="A74" s="4" t="s">
        <v>20</v>
      </c>
      <c r="B74" s="4" t="s">
        <v>20</v>
      </c>
      <c r="C74" s="4" t="s">
        <v>279</v>
      </c>
      <c r="D74" s="4" t="s">
        <v>280</v>
      </c>
      <c r="E74" s="4" t="s">
        <v>44</v>
      </c>
      <c r="F74" s="4"/>
      <c r="G74" s="4" t="s">
        <v>281</v>
      </c>
      <c r="H74" s="4"/>
      <c r="I74" s="4"/>
      <c r="J74" s="4" t="s">
        <v>231</v>
      </c>
      <c r="K74" s="4"/>
      <c r="L74" s="4" t="s">
        <v>27</v>
      </c>
      <c r="M74" s="4"/>
    </row>
    <row r="75" spans="1:13">
      <c r="A75" s="4" t="s">
        <v>20</v>
      </c>
      <c r="B75" s="4" t="s">
        <v>20</v>
      </c>
      <c r="C75" s="4" t="s">
        <v>282</v>
      </c>
      <c r="D75" s="4" t="s">
        <v>283</v>
      </c>
      <c r="E75" s="4" t="s">
        <v>44</v>
      </c>
      <c r="F75" s="4"/>
      <c r="G75" s="4" t="s">
        <v>284</v>
      </c>
      <c r="H75" s="4"/>
      <c r="I75" s="4"/>
      <c r="J75" s="4" t="s">
        <v>285</v>
      </c>
      <c r="K75" s="4"/>
      <c r="L75" s="4" t="s">
        <v>27</v>
      </c>
      <c r="M75" s="4"/>
    </row>
    <row r="76" spans="1:13">
      <c r="A76" s="4" t="s">
        <v>20</v>
      </c>
      <c r="B76" s="4" t="s">
        <v>20</v>
      </c>
      <c r="C76" s="4" t="s">
        <v>286</v>
      </c>
      <c r="D76" s="4" t="s">
        <v>287</v>
      </c>
      <c r="E76" s="4" t="s">
        <v>44</v>
      </c>
      <c r="F76" s="4"/>
      <c r="G76" s="4" t="s">
        <v>284</v>
      </c>
      <c r="H76" s="4"/>
      <c r="I76" s="4"/>
      <c r="J76" s="4" t="s">
        <v>288</v>
      </c>
      <c r="K76" s="4"/>
      <c r="L76" s="4" t="s">
        <v>27</v>
      </c>
      <c r="M76" s="4"/>
    </row>
    <row r="77" spans="1:13">
      <c r="A77" s="4" t="s">
        <v>20</v>
      </c>
      <c r="B77" s="4" t="s">
        <v>20</v>
      </c>
      <c r="C77" s="4" t="s">
        <v>289</v>
      </c>
      <c r="D77" s="4" t="s">
        <v>290</v>
      </c>
      <c r="E77" s="4" t="s">
        <v>23</v>
      </c>
      <c r="F77" s="4"/>
      <c r="G77" s="4" t="s">
        <v>291</v>
      </c>
      <c r="H77" s="4"/>
      <c r="I77" s="4"/>
      <c r="J77" s="4" t="s">
        <v>292</v>
      </c>
      <c r="K77" s="4"/>
      <c r="L77" s="4" t="s">
        <v>27</v>
      </c>
      <c r="M77" s="4"/>
    </row>
    <row r="78" spans="1:13">
      <c r="A78" s="4" t="s">
        <v>20</v>
      </c>
      <c r="B78" s="4" t="s">
        <v>20</v>
      </c>
      <c r="C78" s="4" t="s">
        <v>293</v>
      </c>
      <c r="D78" s="4" t="s">
        <v>294</v>
      </c>
      <c r="E78" s="4" t="s">
        <v>44</v>
      </c>
      <c r="F78" s="4"/>
      <c r="G78" s="4" t="s">
        <v>295</v>
      </c>
      <c r="H78" s="4"/>
      <c r="I78" s="4"/>
      <c r="J78" s="4" t="s">
        <v>296</v>
      </c>
      <c r="K78" s="4"/>
      <c r="L78" s="4" t="s">
        <v>27</v>
      </c>
      <c r="M78" s="4"/>
    </row>
  </sheetData>
  <mergeCells>
    <mergeCell ref="A1:E1"/>
    <mergeCell ref="F1:I1"/>
    <mergeCell ref="C7:M7"/>
    <mergeCell ref="C20:M20"/>
    <mergeCell ref="C31:M31"/>
    <mergeCell ref="C37:M37"/>
    <mergeCell ref="C42:M42"/>
    <mergeCell ref="C51:M51"/>
    <mergeCell ref="C61:M61"/>
    <mergeCell ref="C70:M70"/>
  </mergeCells>
  <dataValidations count="1">
    <dataValidation type="list" errorStyle="stop" operator="between" allowBlank="0" showDropDown="0" showInputMessage="0" showErrorMessage="0" sqref="L8:L78">
      <formula1>"Passed,Failed,Pending,Not Executed"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 List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2026-03-30T09:51:24+07:00</dcterms:created>
  <dcterms:modified xsi:type="dcterms:W3CDTF">2026-03-30T09:51:24+07:00</dcterms:modified>
  <dc:title>Untitled Spreadsheet</dc:title>
  <dc:description/>
  <dc:subject/>
  <cp:keywords/>
  <cp:category/>
</cp:coreProperties>
</file>