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3"/>
  <workbookPr/>
  <mc:AlternateContent xmlns:mc="http://schemas.openxmlformats.org/markup-compatibility/2006">
    <mc:Choice Requires="x15">
      <x15ac:absPath xmlns:x15ac="http://schemas.microsoft.com/office/spreadsheetml/2010/11/ac" url="/Users/dnsnamdang/Documents/DNSMEDIA/websites/hrm-claude-config/hrm/.plans/quotation-unit-select/"/>
    </mc:Choice>
  </mc:AlternateContent>
  <xr:revisionPtr revIDLastSave="0" documentId="13_ncr:1_{85D28FFA-EF26-2643-9487-A1ECE1406D16}" xr6:coauthVersionLast="47" xr6:coauthVersionMax="47" xr10:uidLastSave="{00000000-0000-0000-0000-000000000000}"/>
  <bookViews>
    <workbookView xWindow="0" yWindow="660" windowWidth="30240" windowHeight="17320" xr2:uid="{00000000-000D-0000-FFFF-FFFF00000000}"/>
  </bookViews>
  <sheets>
    <sheet name="QuotationUnitSelec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15" i="1" l="1"/>
  <c r="L14" i="1"/>
  <c r="L13" i="1"/>
  <c r="L12" i="1"/>
  <c r="L11" i="1"/>
</calcChain>
</file>

<file path=xl/sharedStrings.xml><?xml version="1.0" encoding="utf-8"?>
<sst xmlns="http://schemas.openxmlformats.org/spreadsheetml/2006/main" count="437" uniqueCount="265">
  <si>
    <t>MÔ TẢ TÍNH NĂNG (đọc trước khi xem testcase)</t>
  </si>
  <si>
    <t>1. Mục đích tính năng</t>
  </si>
  <si>
    <t>Cho phép chọn Đơn vị tính (ĐVT) cho dòng hàng ERP ở màn Tạo/Sửa báo giá. Khi đổi ĐVT, phần mềm LẤY LẠI đơn giá bán + đơn giá vốn theo đúng đơn vị được chọn (giá lưu theo từng đơn vị bên ERP). Màn Xem chi tiết vẫn hiển thị ĐVT dạng text.</t>
  </si>
  <si>
    <t>2. Đối tượng được tính / hiển thị (cột ĐVT = SELECT)</t>
  </si>
  <si>
    <t>► Báo giá type=2 (tự lập / SELF_BUILT), màn Tạo/Sửa.
► Dòng hàng ERP ĐƠN: erp_product_id != null, KHÔNG phải cha-có-con, KHÔNG phải con (parent_id null).
► Dropdown = TẤT CẢ đơn vị của sản phẩm (product_units), kể cả đơn vị thiếu giá bán lẻ (→ giá 0).</t>
  </si>
  <si>
    <t>3. Đối tượng bị ẩn / không áp (cột ĐVT = TEXT)</t>
  </si>
  <si>
    <t>► Hàng tạm (tự tạo), dòng dịch vụ.
► Combo ERP: dòng cha có con recipe + các dòng con của nó.
► Báo giá type=1 (từ BOM) — kế thừa nguyên vẹn từ BOM.
► Màn Xem chi tiết báo giá — luôn text.</t>
  </si>
  <si>
    <t>4. Bộ lọc thời gian áp dụng cho</t>
  </si>
  <si>
    <t>Không áp dụng — feature thao tác trên dòng hàng, không có bộ lọc thời gian.</t>
  </si>
  <si>
    <t>5. Cấu trúc dữ liệu / cây phân cấp</t>
  </si>
  <si>
    <t>ERP (connection mysql2): product_units(product_id, unit_id, is_base, unit_coefficient, cost_price) + product_unit_prices(product_unit_id, price_type_id=1 bán lẻ, price) + units(id, name). Mỗi sản phẩm có N đơn vị; giá vốn ở product_units.cost_price, giá bán ở product_unit_prices.price theo từng đơn vị.</t>
  </si>
  <si>
    <t>6. Quy tắc cộng dồn / tính toán</t>
  </si>
  <si>
    <t>► Thành tiền bán dòng = quoted_price × qty_needed; Thành tiền nhập = estimated_price × qty_needed.
► TSLN dòng = (Thành tiền bán sau CK − Thành tiền nhập) / Thành tiền nhập × 100%.
► Tổng báo giá = Σ dòng (computed reactive, tự cập nhật khi đổi giá).
► Đổi ĐVT CHỈ đổi đơn giá; SỐ LƯỢNG giữ nguyên (user tự sửa, KHÔNG auto quy đổi theo hệ số).</t>
  </si>
  <si>
    <t>7. Phân quyền cấp</t>
  </si>
  <si>
    <t>• 'Xem giá vốn hàng hoá' (permission id 1045, guard api) — gate hiển thị Giá nhập / Thành tiền nhập / TSLN của hàng ERP. Endpoint POST /assign/quotations/erp-product-units trả cost_price=NULL nếu KHÔNG có quyền (chặn tại API, không dựa FE). canEdit (sửa dòng) = báo giá status=1 (Đang tạo) AND người đăng nhập là người tạo.</t>
  </si>
  <si>
    <t>8. Cách tính đơn giá theo ĐVT</t>
  </si>
  <si>
    <t>► Giá bán = product_unit_prices.price (price_type_id=1) của đơn vị được chọn, ÷ tỷ giá nếu rate&gt;1, làm tròn 2 số lẻ.
► Giá vốn = product_units.cost_price của đơn vị được chọn, cùng cách quy đổi.
► LƯU Ý: dùng GIÁ GỐC, KHÔNG nhân hệ số công ty (product_company_coefficients) — khác popup 'Thêm hàng hoá' (proxy ERP). Nhất quán hành vi lưu cũ.
► BE re-derive giá theo (erp_product_id, unit_id) khi LƯU (nguồn chân lý, không tin giá FE) — cả tạo lẫn cập nhật.</t>
  </si>
  <si>
    <t>9. Ghi chú đọc bảng</t>
  </si>
  <si>
    <t>Ô Giá nhập hàng ERP luôn disabled (khoá, không gõ tay). Đơn vị bị xoá bên ERP → fallback đơn vị cơ bản. Đổi ĐVT có kèm khép rủi ro chiết khấu (xem section VI).</t>
  </si>
  <si>
    <t>Testcase _ Chọn ĐVT khi tạo/sửa báo giá (hàng ERP)</t>
  </si>
  <si>
    <t>TEST SUMMARY</t>
  </si>
  <si>
    <t>Số trường hợp kiểm thử đạt (P):</t>
  </si>
  <si>
    <t>Số trường hợp kiểm thử không đạt (F):</t>
  </si>
  <si>
    <t>Số trường hợp kiểm thử đang xem xét (PE):</t>
  </si>
  <si>
    <t>Số trường hợp kiểm thử chưa thực hiện:</t>
  </si>
  <si>
    <t>Tổng số trường hợp kiểm thử:</t>
  </si>
  <si>
    <t>Module</t>
  </si>
  <si>
    <t>Nhóm chức năng</t>
  </si>
  <si>
    <t>TC ID</t>
  </si>
  <si>
    <t>Chức năng</t>
  </si>
  <si>
    <t>Priority</t>
  </si>
  <si>
    <t>Tiền điều kiện</t>
  </si>
  <si>
    <t>Bước thực hiện</t>
  </si>
  <si>
    <t>Test Data</t>
  </si>
  <si>
    <t>Expected Result (chi tiết)</t>
  </si>
  <si>
    <t>Giải thích nghiệp vụ</t>
  </si>
  <si>
    <t>KQ thực tế</t>
  </si>
  <si>
    <t>trạng thái check lần 1</t>
  </si>
  <si>
    <t>trạng thái check lần 2</t>
  </si>
  <si>
    <t>trạng thái check lần 3</t>
  </si>
  <si>
    <t>Ghi chú</t>
  </si>
  <si>
    <t>Phân quyền &amp; truy cập</t>
  </si>
  <si>
    <t>Báo giá / Giao việc</t>
  </si>
  <si>
    <t>TC-ROLE-00</t>
  </si>
  <si>
    <t>Mở màn Sửa báo giá type=2 có hàng ERP</t>
  </si>
  <si>
    <t>P0</t>
  </si>
  <si>
    <t>User là người tạo báo giá; báo giá type=2, status=1 (Đang tạo); có ≥1 dòng hàng ERP đơn có nhiều đơn vị (vd product 3920: Cái/Hộp/Thùng)</t>
  </si>
  <si>
    <t>1. Vào Sửa báo giá
2. Quan sát cột ĐVT của dòng hàng ERP</t>
  </si>
  <si>
    <t>Báo giá type=2, dòng ERP 3920</t>
  </si>
  <si>
    <t>- Cột ĐVT dòng hàng ERP đơn là &lt;select&gt; đủ các đơn vị của sản phẩm (Cái, Hộp, Thùng)
- Đơn vị đang lưu (Cái) được chọn sẵn</t>
  </si>
  <si>
    <t>canEdit = status=1 AND creator = current user</t>
  </si>
  <si>
    <t>Not Executed</t>
  </si>
  <si>
    <t>TC-ROLE-01</t>
  </si>
  <si>
    <t>CÓ quyền 'Xem giá vốn hàng hoá' → đổi ĐVT thấy giá vốn</t>
  </si>
  <si>
    <t>User có quyền 'Xem giá vốn hàng hoá'; đang Sửa báo giá type=2 có hàng ERP 3920</t>
  </si>
  <si>
    <t>1. Đổi ĐVT dòng ERP từ 'Cái' → 'Hộp'
2. Quan sát cột Giá nhập, Thành tiền nhập, TSLN</t>
  </si>
  <si>
    <t>User: có quyền cost; Hộp giá bán 90.000, giá vốn 50.849</t>
  </si>
  <si>
    <t>- Giá bán dòng = 90.000 (theo Hộp)
- Giá nhập (giá vốn) = 50.849 hiển thị (ô disabled)
- Thành tiền nhập + TSLN cập nhật theo</t>
  </si>
  <si>
    <t>Permission: 'Xem giá vốn hàng hoá' (1045) → BE trả cost_price thật</t>
  </si>
  <si>
    <t>TC-ROLE-02</t>
  </si>
  <si>
    <t>KHÔNG quyền 'Xem giá vốn' → đổi ĐVT giá bán đổi, giá vốn ẩn</t>
  </si>
  <si>
    <t>User KHÔNG có quyền 'Xem giá vốn hàng hoá'; đang Sửa báo giá type=2 của chính họ có hàng ERP 3920</t>
  </si>
  <si>
    <t>1. Đổi ĐVT dòng ERP từ 'Cái' → 'Hộp'
2. Quan sát Giá bán + Giá nhập + TSLN
3. Kiểm response API erp-product-units (DevTools)</t>
  </si>
  <si>
    <t>User: KHÔNG quyền cost</t>
  </si>
  <si>
    <t>- Giá bán = 90.000 (đổi bình thường — không thuộc gate)
- Giá nhập / Thành tiền nhập / TSLN hiển thị '—'
- Response API: cost_price=null cho MỌI đơn vị (không leak 50.849)</t>
  </si>
  <si>
    <t>BR bảo mật: gate tại API (cost=null), không dựa FE ẩn</t>
  </si>
  <si>
    <t>I. HIỂN THỊ TRANG &amp; TRUY CẬP</t>
  </si>
  <si>
    <t>HIỂN THỊ TRANG &amp; TRUY CẬP</t>
  </si>
  <si>
    <t>TC_01.001</t>
  </si>
  <si>
    <t>Cột ĐVT hàng ERP đơn là select</t>
  </si>
  <si>
    <t>Sửa báo giá type=2, dòng hàng ERP đơn (product 3920)</t>
  </si>
  <si>
    <t>1. Mở Sửa báo giá
2. Quan sát cột ĐVT dòng ERP</t>
  </si>
  <si>
    <t>product 3920 (3 đơn vị)</t>
  </si>
  <si>
    <t>- Cột ĐVT là &lt;select&gt;
- Options = Cái, Hộp, Thùng (đủ đơn vị của SP)
- Giá trị chọn sẵn = đơn vị đang lưu</t>
  </si>
  <si>
    <t>BR — chỉ hàng ERP đơn type=2 mới có select</t>
  </si>
  <si>
    <t>TC_01.002</t>
  </si>
  <si>
    <t>Hàng tạm / dịch vụ giữ ĐVT dạng text</t>
  </si>
  <si>
    <t>P1</t>
  </si>
  <si>
    <t>Sửa báo giá type=2 có 1 dòng hàng tạm (tự tạo) + 1 dòng dịch vụ</t>
  </si>
  <si>
    <t>1. Mở Sửa báo giá
2. Quan sát cột ĐVT dòng hàng tạm và dòng dịch vụ</t>
  </si>
  <si>
    <t>1 hàng tạm + 1 dịch vụ</t>
  </si>
  <si>
    <t>- Cột ĐVT dòng hàng tạm hiển thị TEXT (không select)
- Dòng dịch vụ ĐVT text</t>
  </si>
  <si>
    <t>BR — hàng tạm/dịch vụ ngoài phạm vi</t>
  </si>
  <si>
    <t>TC_01.003</t>
  </si>
  <si>
    <t>Combo ERP (cha có con) giữ ĐVT text</t>
  </si>
  <si>
    <t>Sửa báo giá type=2 có 1 hàng ERP là combo (cha có con recipe)</t>
  </si>
  <si>
    <t>1. Mở Sửa báo giá
2. Quan sát ĐVT dòng cha combo và dòng con</t>
  </si>
  <si>
    <t>1 combo ERP cha-con</t>
  </si>
  <si>
    <t>- ĐVT dòng cha combo: TEXT (không select)
- ĐVT dòng con: TEXT</t>
  </si>
  <si>
    <t>BR — combo ngoài phạm vi (tránh vỡ roll-up)</t>
  </si>
  <si>
    <t>TC_01.004</t>
  </si>
  <si>
    <t>Báo giá type=1 (từ BOM) giữ ĐVT text</t>
  </si>
  <si>
    <t>Sửa báo giá type=1 (tạo từ BOM) có hàng ERP</t>
  </si>
  <si>
    <t>1. Mở Sửa báo giá type=1
2. Quan sát cột ĐVT</t>
  </si>
  <si>
    <t>Báo giá type=1</t>
  </si>
  <si>
    <t>- Cột ĐVT hiển thị TEXT toàn bộ (không select)</t>
  </si>
  <si>
    <t>BR — type=1 kế thừa nguyên vẹn từ BOM</t>
  </si>
  <si>
    <t>TC_01.005</t>
  </si>
  <si>
    <t>Màn Xem chi tiết báo giá — ĐVT text</t>
  </si>
  <si>
    <t>Báo giá type=2 có hàng ERP; mở màn Xem chi tiết (không phải Sửa)</t>
  </si>
  <si>
    <t>1. Mở Xem chi tiết báo giá
2. Quan sát cột ĐVT</t>
  </si>
  <si>
    <t>Báo giá type=2</t>
  </si>
  <si>
    <t>- Cột ĐVT hiển thị TEXT (không có select)</t>
  </si>
  <si>
    <t>BR — chỉ màn Tạo/Sửa mới cho chọn ĐVT</t>
  </si>
  <si>
    <t>TC_01.006</t>
  </si>
  <si>
    <t>Nhiều dòng hàng ERP — mỗi dòng select độc lập</t>
  </si>
  <si>
    <t>Sửa báo giá type=2 có 2 dòng hàng ERP khác nhau (SP A và SP B, mỗi SP nhiều đơn vị)</t>
  </si>
  <si>
    <t>1. Mở Sửa
2. Đổi ĐVT dòng A
3. Quan sát dòng B</t>
  </si>
  <si>
    <t>2 dòng ERP A, B</t>
  </si>
  <si>
    <t>- Mỗi dòng có select ĐVT riêng theo đơn vị của SP đó
- Đổi ĐVT dòng A KHÔNG ảnh hưởng giá/ĐVT dòng B</t>
  </si>
  <si>
    <t>BR — options theo từng erp_product_id</t>
  </si>
  <si>
    <t>V. CHỨC NĂNG CHÍNH — ĐỔI ĐVT &amp; TÍNH LẠI GIÁ / TỔNG / TSLN</t>
  </si>
  <si>
    <t>CHỨC NĂNG CHÍNH — ĐỔI ĐVT &amp; TÍNH LẠI GIÁ / TỔNG / TSLN</t>
  </si>
  <si>
    <t>TC_05.001</t>
  </si>
  <si>
    <t>Đổi ĐVT → lấy lại giá bán + giá vốn theo đơn vị</t>
  </si>
  <si>
    <t>Sửa báo giá type=2, user có quyền cost; dòng ERP 3920 đang ĐVT 'Cái'</t>
  </si>
  <si>
    <t>1. Đổi ĐVT 'Cái' → 'Hộp'
2. Quan sát Giá bán, Giá nhập</t>
  </si>
  <si>
    <t>Cái: giá 0 ; Hộp: bán 90.000 / vốn 50.849</t>
  </si>
  <si>
    <t>- Giá bán dòng đổi 0 → 90.000
- Giá vốn dòng đổi → 50.849
- Cả 2 lấy cùng đơn vị 'Hộp'</t>
  </si>
  <si>
    <t>BR chính của feature</t>
  </si>
  <si>
    <t>TC_05.002</t>
  </si>
  <si>
    <t>Thành tiền + Tổng giá trị báo giá cập nhật khi đổi ĐVT</t>
  </si>
  <si>
    <t>Như trên, SL dòng = 1, không CK</t>
  </si>
  <si>
    <t>1. Ghi lại Tổng trước
2. Đổi ĐVT 'Cái' → 'Hộp'
3. Quan sát Thành tiền bán, bảng Tổng hợp, Tổng cộng</t>
  </si>
  <si>
    <t>SL=1</t>
  </si>
  <si>
    <t>- Thành tiền bán dòng = 90.000 × 1 = 90.000
- Bảng Tổng hợp giá trị + Tổng cộng cập nhật đúng theo giá mới</t>
  </si>
  <si>
    <t>Công thức: Thành tiền = đơn giá × SL; Tổng = Σ dòng</t>
  </si>
  <si>
    <t>TC_05.003</t>
  </si>
  <si>
    <t>TSLN cập nhật đúng khi đổi ĐVT</t>
  </si>
  <si>
    <t>User có quyền cost; dòng ERP đổi sang 'Hộp' (bán 90.000, vốn 50.849), SL=1, không CK</t>
  </si>
  <si>
    <t>1. Đổi ĐVT sang 'Hộp'
2. Quan sát cột TSLN</t>
  </si>
  <si>
    <t>bán 90.000 / vốn 50.849</t>
  </si>
  <si>
    <t>- TSLN = (90.000 − 50.849)/50.849 × 100 ≈ 77%
- Cả giá bán và giá vốn cùng đơn vị → TSLN nhất quán</t>
  </si>
  <si>
    <t>Công thức: TSLN=(sale sau CK − import)/import</t>
  </si>
  <si>
    <t>TC_05.004</t>
  </si>
  <si>
    <t>Số lượng GIỮ NGUYÊN khi đổi ĐVT</t>
  </si>
  <si>
    <t>Dòng ERP có SL = 5 (Cái)</t>
  </si>
  <si>
    <t>1. Đổi ĐVT 'Cái' → 'Hộp'
2. Quan sát cột Số lượng</t>
  </si>
  <si>
    <t>SL=5</t>
  </si>
  <si>
    <t>- Số lượng vẫn = 5 (không tự quy đổi theo hệ số)
- Thành tiền = 90.000 × 5 = 450.000</t>
  </si>
  <si>
    <t>BR đã chốt: SL user tự sửa, không auto convert</t>
  </si>
  <si>
    <t>TC_05.005</t>
  </si>
  <si>
    <t>Lưu → mở lại: giá đúng theo ĐVT đã chọn (BE re-derive)</t>
  </si>
  <si>
    <t>Sửa báo giá, đổi ĐVT sang 'Hộp', bấm Lưu</t>
  </si>
  <si>
    <t>1. Đổi ĐVT sang 'Hộp'
2. Lưu báo giá
3. Mở lại màn Sửa/Xem</t>
  </si>
  <si>
    <t>Hộp</t>
  </si>
  <si>
    <t>- Sau lưu, dòng giữ ĐVT 'Hộp'
- Giá bán/giá vốn = giá của 'Hộp' (BE tự lấy lại theo unit_id, không tin giá FE)</t>
  </si>
  <si>
    <t>BR — BE là nguồn chân lý (saveDirectProduct re-derive create+update)</t>
  </si>
  <si>
    <t>TC_05.006</t>
  </si>
  <si>
    <t>Đổi qua lại nhiều đơn vị</t>
  </si>
  <si>
    <t>Dòng ERP 3920 (Cái/Hộp/Thùng)</t>
  </si>
  <si>
    <t>1. Đổi 'Cái' → 'Hộp' (giá 90.000)
2. Đổi 'Hộp' → 'Thùng' (giá 0)
3. Đổi 'Thùng' → 'Cái'</t>
  </si>
  <si>
    <t>Cái 0 / Hộp 90.000 / Thùng 0</t>
  </si>
  <si>
    <t>- Mỗi lần đổi, giá bán + giá vốn cập nhật đúng theo đơn vị hiện chọn
- Không giữ giá của đơn vị trước</t>
  </si>
  <si>
    <t>BR — luôn lấy giá theo đơn vị hiện tại</t>
  </si>
  <si>
    <t>TC_05.007</t>
  </si>
  <si>
    <t>Đổi ĐVT KHÔNG đổi VAT của dòng</t>
  </si>
  <si>
    <t>Dòng ERP có VAT (vat_percent) = 8%</t>
  </si>
  <si>
    <t>1. Ghi lại VAT dòng
2. Đổi ĐVT sang đơn vị khác
3. Quan sát cột VAT</t>
  </si>
  <si>
    <t>VAT=8%</t>
  </si>
  <si>
    <t>- VAT dòng vẫn = 8% (VAT theo sản phẩm ERP, không theo đơn vị)
- Chỉ đơn giá đổi</t>
  </si>
  <si>
    <t>BR — onChangeUnit không đụng vat_percent</t>
  </si>
  <si>
    <t>TC_05.008</t>
  </si>
  <si>
    <t>Báo giá ngoại tệ (rate&gt;1) — giá quy đổi theo tỷ giá khi đổi ĐVT</t>
  </si>
  <si>
    <t>Báo giá tiền tệ USD, exchange_rate &gt; 1; dòng ERP nhiều đơn vị</t>
  </si>
  <si>
    <t>1. Đổi ĐVT sang đơn vị có giá VND = P
2. Quan sát đơn giá hiển thị</t>
  </si>
  <si>
    <t>USD, rate=R&gt;1</t>
  </si>
  <si>
    <t>- Đơn giá hiển thị = round(P / R, 2) (quy đổi theo tỷ giá)
- Nhất quán với cách thêm hàng ERP</t>
  </si>
  <si>
    <t>Công thức: rate&gt;1 ? round(price/rate,2) : price</t>
  </si>
  <si>
    <t>VI. EDGE CASES &amp; VALIDATION</t>
  </si>
  <si>
    <t>EDGE CASES &amp; VALIDATION</t>
  </si>
  <si>
    <t>TC_06.001</t>
  </si>
  <si>
    <t>Đơn vị thiếu giá bán lẻ → giá bán = 0</t>
  </si>
  <si>
    <t>Dòng ERP có đơn vị 'Thùng' không khai giá bán lẻ (product_unit_prices trống)</t>
  </si>
  <si>
    <t>1. Đổi ĐVT sang 'Thùng'
2. Quan sát Giá bán</t>
  </si>
  <si>
    <t>Thùng: retail null</t>
  </si>
  <si>
    <t>- Giá bán dòng = 0 (hiển thị rõ để user xử lý)
- Không lỗi/không crash</t>
  </si>
  <si>
    <t>LEFT JOIN + coalesce 0</t>
  </si>
  <si>
    <t>TC_06.002</t>
  </si>
  <si>
    <t>CK theo % → tính lại discount_amount theo giá mới</t>
  </si>
  <si>
    <t>Dòng ERP ĐVT 'Cái' (giá X), nhập chiết khấu theo % (mode=percent), vd 10%</t>
  </si>
  <si>
    <t>1. Nhập CK 10% (theo %)
2. Đổi ĐVT sang 'Hộp' (giá 90.000)
3. Quan sát CK tiền + Thành tiền sau CK + TSLN</t>
  </si>
  <si>
    <t>CK 10%; Hộp 90.000</t>
  </si>
  <si>
    <t>- discount_amount tính lại = 90.000 × 10% = 9.000
- Thành tiền sau CK + TSLN đúng theo giá mới (không dùng CK cũ stale)</t>
  </si>
  <si>
    <t>Fix: onChangeUnit gọi onDiscountPercentInput khi mode=percent</t>
  </si>
  <si>
    <t>TC_06.003</t>
  </si>
  <si>
    <t>CK theo tiền &gt; giá mới → validation báo đỏ</t>
  </si>
  <si>
    <t>Dòng ERP ĐVT 'Hộp' (90.000), nhập CK theo tiền = 50.000; đổi sang đơn vị rẻ hơn (giá &lt; 50.000)</t>
  </si>
  <si>
    <t>1. Nhập CK tiền = 50.000
2. Đổi ĐVT sang đơn vị có giá &lt; 50.000
3. Quan sát ô CK</t>
  </si>
  <si>
    <t>CK 50.000</t>
  </si>
  <si>
    <t>- Ô CK bị đánh dấu is-invalid (viền đỏ) + báo 'GG không được lớn hơn đơn giá bán'
- Chặn gửi duyệt cho tới khi user sửa</t>
  </si>
  <si>
    <t>isItemDiscountInvalid: discount_amount &gt; quoted_price</t>
  </si>
  <si>
    <t>TC_06.004</t>
  </si>
  <si>
    <t>Phương pháp 2 (phân bổ) → cảnh báo phân bổ lại</t>
  </si>
  <si>
    <t>Báo giá dùng CK phương pháp 2, đã phân bổ giảm giá; dòng ERP có allocated_discount_amount &gt; 0</t>
  </si>
  <si>
    <t>1. Đổi ĐVT dòng ERP
2. Quan sát thông báo</t>
  </si>
  <si>
    <t>PP2, đã phân bổ</t>
  </si>
  <si>
    <t>- Hiện toast 'Giá bán đã thay đổi, vui lòng phân bổ lại giảm giá'
- allocationStale = true (nhắc user phân bổ lại)</t>
  </si>
  <si>
    <t>Fix: onChangeUnit gọi onSalePriceChange</t>
  </si>
  <si>
    <t>TC_06.005</t>
  </si>
  <si>
    <t>Đơn vị bị xoá bên ERP → fallback đơn vị cơ bản khi lưu</t>
  </si>
  <si>
    <t>P2</t>
  </si>
  <si>
    <t>Dòng đã lưu unit_id là đơn vị sau đó bị xoá bên ERP</t>
  </si>
  <si>
    <t>1. Mở Sửa báo giá
2. Lưu lại</t>
  </si>
  <si>
    <t>unit_id không còn trong product_units</t>
  </si>
  <si>
    <t>- BE getUnitPrice fallback đơn vị cơ bản (is_base=1)
- Không lỗi; giá lấy theo đơn vị cơ bản</t>
  </si>
  <si>
    <t>getUnitPrice fallback base khi unit không khớp</t>
  </si>
  <si>
    <t>TC_06.006</t>
  </si>
  <si>
    <t>ERP offline khi nạp đơn vị → dòng giữ text, không vỡ màn</t>
  </si>
  <si>
    <t>mysql2/ERP tạm không truy vấn được khi load màn Sửa</t>
  </si>
  <si>
    <t>1. Mở Sửa báo giá khi nạp unit lỗi</t>
  </si>
  <si>
    <t>erp-product-units lỗi</t>
  </si>
  <si>
    <t>- loadUnitOptions catch im lặng → dòng ERP hiển thị ĐVT text (fallback)
- Màn không crash</t>
  </si>
  <si>
    <t>try/catch im lặng ở loadUnitOptions</t>
  </si>
  <si>
    <t>TC_06.007</t>
  </si>
  <si>
    <t>Sản phẩm ERP chỉ có 1 đơn vị</t>
  </si>
  <si>
    <t>Dòng hàng ERP mà sản phẩm chỉ khai 1 đơn vị (chỉ base)</t>
  </si>
  <si>
    <t>1. Mở Sửa
2. Quan sát select ĐVT dòng đó</t>
  </si>
  <si>
    <t>SP 1 đơn vị</t>
  </si>
  <si>
    <t>- Select ĐVT hiển thị 1 option (đơn vị cơ bản)
- Không lỗi khi mở/chọn</t>
  </si>
  <si>
    <t>Edge — dropdown 1 phần tử vẫn hợp lệ</t>
  </si>
  <si>
    <t>TC_06.008</t>
  </si>
  <si>
    <t>Đổi ĐVT rồi Hủy (không lưu) → DB không đổi</t>
  </si>
  <si>
    <t>Dòng ERP đang ĐVT 'Cái'; user đổi sang 'Hộp' nhưng bấm Hủy/không lưu</t>
  </si>
  <si>
    <t>1. Đổi ĐVT sang 'Hộp'
2. Rời màn / bấm Hủy (không Lưu)
3. Mở lại báo giá</t>
  </si>
  <si>
    <t>Không bấm Lưu</t>
  </si>
  <si>
    <t>- Báo giá giữ ĐVT 'Cái' như cũ (thay đổi chỉ ở FE, chưa persist)
- Không ảnh hưởng dữ liệu</t>
  </si>
  <si>
    <t>BR — chỉ Lưu mới ghi DB</t>
  </si>
  <si>
    <t>VII. CÔ LẬP DỮ LIỆU &amp; BẢO MẬT</t>
  </si>
  <si>
    <t>CÔ LẬP DỮ LIỆU &amp; BẢO MẬT</t>
  </si>
  <si>
    <t>TC_07.001</t>
  </si>
  <si>
    <t>Không leak giá vốn khi thiếu quyền (API null)</t>
  </si>
  <si>
    <t>User KHÔNG có quyền 'Xem giá vốn hàng hoá'</t>
  </si>
  <si>
    <t>1. Mở Sửa báo giá có hàng ERP
2. Xem response API POST erp-product-units (DevTools)</t>
  </si>
  <si>
    <t>User không quyền cost</t>
  </si>
  <si>
    <t>- Response: mỗi đơn vị có cost_price = null (mọi sản phẩm, mọi đơn vị)
- FE không có dữ liệu giá vốn để hiện</t>
  </si>
  <si>
    <t>BR bảo mật: gate tại API, defense-in-depth</t>
  </si>
  <si>
    <t>TC_07.002</t>
  </si>
  <si>
    <t>BE re-derive giá khi lưu — không tin giá FE</t>
  </si>
  <si>
    <t>User dùng DevTools sửa giá FE của dòng ERP rồi Lưu</t>
  </si>
  <si>
    <t>1. Sửa payload quoted_price/estimated_price của dòng ERP
2. Lưu
3. Mở lại kiểm giá</t>
  </si>
  <si>
    <t>Payload giá FE bị sửa</t>
  </si>
  <si>
    <t>- Sau lưu, giá dòng ERP = giá lấy từ ERP theo unit_id (KHÔNG theo giá FE gửi)</t>
  </si>
  <si>
    <t>BR — saveDirectProduct re-derive theo (erp_product_id, unit_id)</t>
  </si>
  <si>
    <t>TC_07.003</t>
  </si>
  <si>
    <t>Không sửa được dòng của báo giá không phải mình / đã duyệt</t>
  </si>
  <si>
    <t>Báo giá status != 1 (đã duyệt) hoặc người khác tạo</t>
  </si>
  <si>
    <t>1. Mở màn Sửa (nếu vào được)
2. Quan sát select ĐVT</t>
  </si>
  <si>
    <t>status != 1 hoặc khác creator</t>
  </si>
  <si>
    <t>- canEdit=false → select ĐVT disabled (không đổi được)</t>
  </si>
  <si>
    <t>VIII. E2E FLOW</t>
  </si>
  <si>
    <t>E2E FLOW</t>
  </si>
  <si>
    <t>TC_08.001</t>
  </si>
  <si>
    <t>Luồng đầy đủ: đổi ĐVT → lưu → mở lại (có quyền)</t>
  </si>
  <si>
    <t>User có quyền cost; báo giá type=2 có hàng ERP 3920</t>
  </si>
  <si>
    <t>1. Mở Sửa
2. Đổi ĐVT 'Cái' → 'Hộp'
3. Kiểm giá bán 90.000 + giá vốn 50.849 + tổng/TSLN
4. Lưu
5. Mở lại</t>
  </si>
  <si>
    <t>product 3920</t>
  </si>
  <si>
    <t>- Bước 3: giá bán 90.000, giá vốn 50.849, tổng + TSLN cập nhật
- Sau lưu: ĐVT 'Hộp', giá đúng theo ĐVT (BE re-derive)</t>
  </si>
  <si>
    <t>E2E chính (đã tự động hoá Playwright)</t>
  </si>
  <si>
    <t>TC_08.002</t>
  </si>
  <si>
    <t>Luồng không quyền: đổi ĐVT giá bán đổi, giá vốn ẩn</t>
  </si>
  <si>
    <t>User KHÔNG quyền cost; báo giá type=2 của họ có hàng ERP 3920</t>
  </si>
  <si>
    <t>1. Mở Sửa
2. Đổi ĐVT 'Cái' → 'Hộp'
3. Kiểm giá bán + giá vốn</t>
  </si>
  <si>
    <t>- Giá bán 90.000 (đổi); Giá vốn/Thành tiền nhập/TSLN '—' (không lộ 50.849)</t>
  </si>
  <si>
    <t>E2E case permission (đã tự động hoá Playwright)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</si>
</sst>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2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4"/>
      <color rgb="FFFFFFFF"/>
      <name val="Calibri"/>
      <family val="2"/>
    </font>
    <font>
      <b/>
      <sz val="12"/>
      <color rgb="FFFFFFFF"/>
      <name val="Calibri"/>
      <family val="2"/>
    </font>
    <font>
      <b/>
      <sz val="11"/>
      <color rgb="FFFFFFFF"/>
      <name val="Calibri"/>
      <family val="2"/>
    </font>
    <font>
      <b/>
      <sz val="12"/>
      <color rgb="FF1F4E79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4472C4"/>
      </patternFill>
    </fill>
    <fill>
      <patternFill patternType="solid">
        <fgColor rgb="FFD9E1F2"/>
      </patternFill>
    </fill>
    <fill>
      <patternFill patternType="solid">
        <fgColor rgb="FFD6E4F0"/>
      </patternFill>
    </fill>
    <fill>
      <patternFill patternType="solid">
        <fgColor rgb="FFF2F2F2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4" fillId="3" borderId="0" xfId="0" applyFont="1" applyFill="1" applyAlignment="1">
      <alignment horizontal="left" vertical="center" indent="1"/>
    </xf>
    <xf numFmtId="0" fontId="6" fillId="3" borderId="1" xfId="0" applyFont="1" applyFill="1" applyBorder="1" applyAlignment="1">
      <alignment horizontal="center" vertical="center" wrapText="1"/>
    </xf>
    <xf numFmtId="0" fontId="0" fillId="5" borderId="1" xfId="0" applyFill="1" applyBorder="1"/>
    <xf numFmtId="0" fontId="3" fillId="0" borderId="1" xfId="0" applyFont="1" applyBorder="1" applyAlignment="1">
      <alignment horizontal="center" vertical="top" wrapText="1"/>
    </xf>
    <xf numFmtId="0" fontId="3" fillId="6" borderId="1" xfId="0" applyFont="1" applyFill="1" applyBorder="1" applyAlignment="1">
      <alignment horizontal="left" vertical="top" wrapText="1"/>
    </xf>
    <xf numFmtId="0" fontId="3" fillId="6" borderId="1" xfId="0" applyFont="1" applyFill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/>
    </xf>
    <xf numFmtId="0" fontId="0" fillId="0" borderId="2" xfId="0" applyBorder="1"/>
    <xf numFmtId="0" fontId="0" fillId="0" borderId="3" xfId="0" applyBorder="1"/>
    <xf numFmtId="0" fontId="2" fillId="4" borderId="1" xfId="0" applyFont="1" applyFill="1" applyBorder="1" applyAlignment="1">
      <alignment horizontal="right" vertical="center"/>
    </xf>
    <xf numFmtId="0" fontId="2" fillId="4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left" vertical="center" wrapText="1" indent="1"/>
    </xf>
    <xf numFmtId="0" fontId="0" fillId="0" borderId="0" xfId="0"/>
    <xf numFmtId="0" fontId="5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3"/>
  <sheetViews>
    <sheetView tabSelected="1" topLeftCell="A257" workbookViewId="0">
      <selection activeCell="B19" sqref="B19"/>
    </sheetView>
  </sheetViews>
  <sheetFormatPr baseColWidth="10" defaultColWidth="8.83203125" defaultRowHeight="15" x14ac:dyDescent="0.2"/>
  <cols>
    <col min="1" max="2" width="22" customWidth="1"/>
    <col min="3" max="3" width="16" customWidth="1"/>
    <col min="4" max="4" width="42" customWidth="1"/>
    <col min="5" max="5" width="10" customWidth="1"/>
    <col min="6" max="6" width="32" customWidth="1"/>
    <col min="7" max="7" width="55" customWidth="1"/>
    <col min="8" max="8" width="22" customWidth="1"/>
    <col min="9" max="9" width="65" customWidth="1"/>
    <col min="10" max="10" width="35" customWidth="1"/>
    <col min="11" max="11" width="18" customWidth="1"/>
    <col min="12" max="14" width="16" customWidth="1"/>
    <col min="15" max="15" width="22" customWidth="1"/>
  </cols>
  <sheetData>
    <row r="1" spans="1:15" ht="22" customHeight="1" x14ac:dyDescent="0.2">
      <c r="A1" s="1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</row>
    <row r="2" spans="1:15" ht="40" customHeight="1" x14ac:dyDescent="0.2">
      <c r="A2" s="2" t="s">
        <v>1</v>
      </c>
      <c r="B2" s="10" t="s">
        <v>2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2"/>
    </row>
    <row r="3" spans="1:15" ht="62" customHeight="1" x14ac:dyDescent="0.2">
      <c r="A3" s="2" t="s">
        <v>3</v>
      </c>
      <c r="B3" s="10" t="s">
        <v>4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2"/>
    </row>
    <row r="4" spans="1:15" ht="78" customHeight="1" x14ac:dyDescent="0.2">
      <c r="A4" s="2" t="s">
        <v>5</v>
      </c>
      <c r="B4" s="10" t="s">
        <v>6</v>
      </c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2"/>
    </row>
    <row r="5" spans="1:15" ht="40" customHeight="1" x14ac:dyDescent="0.2">
      <c r="A5" s="2" t="s">
        <v>7</v>
      </c>
      <c r="B5" s="10" t="s">
        <v>8</v>
      </c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2"/>
    </row>
    <row r="6" spans="1:15" ht="40" customHeight="1" x14ac:dyDescent="0.2">
      <c r="A6" s="2" t="s">
        <v>9</v>
      </c>
      <c r="B6" s="10" t="s">
        <v>10</v>
      </c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2"/>
    </row>
    <row r="7" spans="1:15" ht="78" customHeight="1" x14ac:dyDescent="0.2">
      <c r="A7" s="2" t="s">
        <v>11</v>
      </c>
      <c r="B7" s="10" t="s">
        <v>12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2"/>
    </row>
    <row r="8" spans="1:15" ht="40" customHeight="1" x14ac:dyDescent="0.2">
      <c r="A8" s="2" t="s">
        <v>13</v>
      </c>
      <c r="B8" s="10" t="s">
        <v>14</v>
      </c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2"/>
    </row>
    <row r="9" spans="1:15" ht="78" customHeight="1" x14ac:dyDescent="0.2">
      <c r="A9" s="2" t="s">
        <v>15</v>
      </c>
      <c r="B9" s="10" t="s">
        <v>16</v>
      </c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2"/>
    </row>
    <row r="10" spans="1:15" ht="40" customHeight="1" x14ac:dyDescent="0.2">
      <c r="A10" s="2" t="s">
        <v>17</v>
      </c>
      <c r="B10" s="10" t="s">
        <v>18</v>
      </c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2"/>
    </row>
    <row r="11" spans="1:15" ht="28" customHeight="1" x14ac:dyDescent="0.2">
      <c r="A11" s="4" t="s">
        <v>19</v>
      </c>
      <c r="B11" s="16"/>
      <c r="C11" s="16"/>
      <c r="D11" s="16"/>
      <c r="E11" s="16"/>
      <c r="F11" s="17" t="s">
        <v>20</v>
      </c>
      <c r="G11" s="16"/>
      <c r="H11" s="16"/>
      <c r="I11" s="13" t="s">
        <v>21</v>
      </c>
      <c r="J11" s="11"/>
      <c r="K11" s="12"/>
      <c r="L11" s="14">
        <f>COUNTIF(L18:N500,"Passed")</f>
        <v>0</v>
      </c>
      <c r="M11" s="11"/>
      <c r="N11" s="11"/>
      <c r="O11" s="12"/>
    </row>
    <row r="12" spans="1:15" ht="22" customHeight="1" x14ac:dyDescent="0.2">
      <c r="I12" s="13" t="s">
        <v>22</v>
      </c>
      <c r="J12" s="11"/>
      <c r="K12" s="12"/>
      <c r="L12" s="14">
        <f>COUNTIF(L18:N500,"Failed")</f>
        <v>0</v>
      </c>
      <c r="M12" s="11"/>
      <c r="N12" s="11"/>
      <c r="O12" s="12"/>
    </row>
    <row r="13" spans="1:15" ht="22" customHeight="1" x14ac:dyDescent="0.2">
      <c r="I13" s="13" t="s">
        <v>23</v>
      </c>
      <c r="J13" s="11"/>
      <c r="K13" s="12"/>
      <c r="L13" s="14">
        <f>COUNTIF(L18:N500,"Pending")</f>
        <v>0</v>
      </c>
      <c r="M13" s="11"/>
      <c r="N13" s="11"/>
      <c r="O13" s="12"/>
    </row>
    <row r="14" spans="1:15" ht="22" customHeight="1" x14ac:dyDescent="0.2">
      <c r="I14" s="13" t="s">
        <v>24</v>
      </c>
      <c r="J14" s="11"/>
      <c r="K14" s="12"/>
      <c r="L14" s="14">
        <f>COUNTIF(L18:N500,"Not Executed")</f>
        <v>90</v>
      </c>
      <c r="M14" s="11"/>
      <c r="N14" s="11"/>
      <c r="O14" s="12"/>
    </row>
    <row r="15" spans="1:15" ht="22" customHeight="1" x14ac:dyDescent="0.2">
      <c r="I15" s="13" t="s">
        <v>25</v>
      </c>
      <c r="J15" s="11"/>
      <c r="K15" s="12"/>
      <c r="L15" s="14">
        <f>COUNTIF(L18:N500,"&lt;&gt;")</f>
        <v>90</v>
      </c>
      <c r="M15" s="11"/>
      <c r="N15" s="11"/>
      <c r="O15" s="12"/>
    </row>
    <row r="16" spans="1:15" ht="8" customHeight="1" x14ac:dyDescent="0.2"/>
    <row r="17" spans="1:15" ht="36" customHeight="1" x14ac:dyDescent="0.2">
      <c r="A17" s="5" t="s">
        <v>26</v>
      </c>
      <c r="B17" s="5" t="s">
        <v>27</v>
      </c>
      <c r="C17" s="5" t="s">
        <v>28</v>
      </c>
      <c r="D17" s="5" t="s">
        <v>29</v>
      </c>
      <c r="E17" s="5" t="s">
        <v>30</v>
      </c>
      <c r="F17" s="5" t="s">
        <v>31</v>
      </c>
      <c r="G17" s="5" t="s">
        <v>32</v>
      </c>
      <c r="H17" s="5" t="s">
        <v>33</v>
      </c>
      <c r="I17" s="5" t="s">
        <v>34</v>
      </c>
      <c r="J17" s="5" t="s">
        <v>35</v>
      </c>
      <c r="K17" s="5" t="s">
        <v>36</v>
      </c>
      <c r="L17" s="5" t="s">
        <v>37</v>
      </c>
      <c r="M17" s="5" t="s">
        <v>38</v>
      </c>
      <c r="N17" s="5" t="s">
        <v>39</v>
      </c>
      <c r="O17" s="5" t="s">
        <v>40</v>
      </c>
    </row>
    <row r="18" spans="1:15" ht="26" customHeight="1" x14ac:dyDescent="0.2">
      <c r="A18" s="6"/>
      <c r="B18" s="6"/>
      <c r="C18" s="15" t="s">
        <v>41</v>
      </c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2"/>
    </row>
    <row r="19" spans="1:15" ht="45" customHeight="1" x14ac:dyDescent="0.2">
      <c r="A19" s="3" t="s">
        <v>42</v>
      </c>
      <c r="B19" s="3" t="s">
        <v>41</v>
      </c>
      <c r="C19" s="3" t="s">
        <v>43</v>
      </c>
      <c r="D19" s="3" t="s">
        <v>44</v>
      </c>
      <c r="E19" s="7" t="s">
        <v>45</v>
      </c>
      <c r="F19" s="3" t="s">
        <v>46</v>
      </c>
      <c r="G19" s="3" t="s">
        <v>47</v>
      </c>
      <c r="H19" s="3" t="s">
        <v>48</v>
      </c>
      <c r="I19" s="3" t="s">
        <v>49</v>
      </c>
      <c r="J19" s="3" t="s">
        <v>50</v>
      </c>
      <c r="K19" s="3"/>
      <c r="L19" s="3" t="s">
        <v>51</v>
      </c>
      <c r="M19" s="3" t="s">
        <v>51</v>
      </c>
      <c r="N19" s="3" t="s">
        <v>51</v>
      </c>
      <c r="O19" s="3"/>
    </row>
    <row r="20" spans="1:15" ht="41" customHeight="1" x14ac:dyDescent="0.2">
      <c r="A20" s="8" t="s">
        <v>42</v>
      </c>
      <c r="B20" s="8" t="s">
        <v>41</v>
      </c>
      <c r="C20" s="8" t="s">
        <v>52</v>
      </c>
      <c r="D20" s="8" t="s">
        <v>53</v>
      </c>
      <c r="E20" s="9" t="s">
        <v>45</v>
      </c>
      <c r="F20" s="8" t="s">
        <v>54</v>
      </c>
      <c r="G20" s="8" t="s">
        <v>55</v>
      </c>
      <c r="H20" s="8" t="s">
        <v>56</v>
      </c>
      <c r="I20" s="8" t="s">
        <v>57</v>
      </c>
      <c r="J20" s="8" t="s">
        <v>58</v>
      </c>
      <c r="K20" s="8"/>
      <c r="L20" s="8" t="s">
        <v>51</v>
      </c>
      <c r="M20" s="8" t="s">
        <v>51</v>
      </c>
      <c r="N20" s="8" t="s">
        <v>51</v>
      </c>
      <c r="O20" s="8"/>
    </row>
    <row r="21" spans="1:15" ht="57" customHeight="1" x14ac:dyDescent="0.2">
      <c r="A21" s="3" t="s">
        <v>42</v>
      </c>
      <c r="B21" s="3" t="s">
        <v>41</v>
      </c>
      <c r="C21" s="3" t="s">
        <v>59</v>
      </c>
      <c r="D21" s="3" t="s">
        <v>60</v>
      </c>
      <c r="E21" s="7" t="s">
        <v>45</v>
      </c>
      <c r="F21" s="3" t="s">
        <v>61</v>
      </c>
      <c r="G21" s="3" t="s">
        <v>62</v>
      </c>
      <c r="H21" s="3" t="s">
        <v>63</v>
      </c>
      <c r="I21" s="3" t="s">
        <v>64</v>
      </c>
      <c r="J21" s="3" t="s">
        <v>65</v>
      </c>
      <c r="K21" s="3"/>
      <c r="L21" s="3" t="s">
        <v>51</v>
      </c>
      <c r="M21" s="3" t="s">
        <v>51</v>
      </c>
      <c r="N21" s="3" t="s">
        <v>51</v>
      </c>
      <c r="O21" s="3"/>
    </row>
    <row r="22" spans="1:15" ht="26" customHeight="1" x14ac:dyDescent="0.2">
      <c r="A22" s="6"/>
      <c r="B22" s="6"/>
      <c r="C22" s="15" t="s">
        <v>66</v>
      </c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2"/>
    </row>
    <row r="23" spans="1:15" ht="35" customHeight="1" x14ac:dyDescent="0.2">
      <c r="A23" s="8" t="s">
        <v>42</v>
      </c>
      <c r="B23" s="8" t="s">
        <v>67</v>
      </c>
      <c r="C23" s="8" t="s">
        <v>68</v>
      </c>
      <c r="D23" s="8" t="s">
        <v>69</v>
      </c>
      <c r="E23" s="9" t="s">
        <v>45</v>
      </c>
      <c r="F23" s="8" t="s">
        <v>70</v>
      </c>
      <c r="G23" s="8" t="s">
        <v>71</v>
      </c>
      <c r="H23" s="8" t="s">
        <v>72</v>
      </c>
      <c r="I23" s="8" t="s">
        <v>73</v>
      </c>
      <c r="J23" s="8" t="s">
        <v>74</v>
      </c>
      <c r="K23" s="8"/>
      <c r="L23" s="8" t="s">
        <v>51</v>
      </c>
      <c r="M23" s="8" t="s">
        <v>51</v>
      </c>
      <c r="N23" s="8" t="s">
        <v>51</v>
      </c>
      <c r="O23" s="8"/>
    </row>
    <row r="24" spans="1:15" ht="30" customHeight="1" x14ac:dyDescent="0.2">
      <c r="A24" s="3" t="s">
        <v>42</v>
      </c>
      <c r="B24" s="3" t="s">
        <v>67</v>
      </c>
      <c r="C24" s="3" t="s">
        <v>75</v>
      </c>
      <c r="D24" s="3" t="s">
        <v>76</v>
      </c>
      <c r="E24" s="7" t="s">
        <v>77</v>
      </c>
      <c r="F24" s="3" t="s">
        <v>78</v>
      </c>
      <c r="G24" s="3" t="s">
        <v>79</v>
      </c>
      <c r="H24" s="3" t="s">
        <v>80</v>
      </c>
      <c r="I24" s="3" t="s">
        <v>81</v>
      </c>
      <c r="J24" s="3" t="s">
        <v>82</v>
      </c>
      <c r="K24" s="3"/>
      <c r="L24" s="3" t="s">
        <v>51</v>
      </c>
      <c r="M24" s="3" t="s">
        <v>51</v>
      </c>
      <c r="N24" s="3" t="s">
        <v>51</v>
      </c>
      <c r="O24" s="3"/>
    </row>
    <row r="25" spans="1:15" ht="30" customHeight="1" x14ac:dyDescent="0.2">
      <c r="A25" s="8" t="s">
        <v>42</v>
      </c>
      <c r="B25" s="8" t="s">
        <v>67</v>
      </c>
      <c r="C25" s="8" t="s">
        <v>83</v>
      </c>
      <c r="D25" s="8" t="s">
        <v>84</v>
      </c>
      <c r="E25" s="9" t="s">
        <v>77</v>
      </c>
      <c r="F25" s="8" t="s">
        <v>85</v>
      </c>
      <c r="G25" s="8" t="s">
        <v>86</v>
      </c>
      <c r="H25" s="8" t="s">
        <v>87</v>
      </c>
      <c r="I25" s="8" t="s">
        <v>88</v>
      </c>
      <c r="J25" s="8" t="s">
        <v>89</v>
      </c>
      <c r="K25" s="8"/>
      <c r="L25" s="8" t="s">
        <v>51</v>
      </c>
      <c r="M25" s="8" t="s">
        <v>51</v>
      </c>
      <c r="N25" s="8" t="s">
        <v>51</v>
      </c>
      <c r="O25" s="8"/>
    </row>
    <row r="26" spans="1:15" ht="30" customHeight="1" x14ac:dyDescent="0.2">
      <c r="A26" s="3" t="s">
        <v>42</v>
      </c>
      <c r="B26" s="3" t="s">
        <v>67</v>
      </c>
      <c r="C26" s="3" t="s">
        <v>90</v>
      </c>
      <c r="D26" s="3" t="s">
        <v>91</v>
      </c>
      <c r="E26" s="7" t="s">
        <v>77</v>
      </c>
      <c r="F26" s="3" t="s">
        <v>92</v>
      </c>
      <c r="G26" s="3" t="s">
        <v>93</v>
      </c>
      <c r="H26" s="3" t="s">
        <v>94</v>
      </c>
      <c r="I26" s="3" t="s">
        <v>95</v>
      </c>
      <c r="J26" s="3" t="s">
        <v>96</v>
      </c>
      <c r="K26" s="3"/>
      <c r="L26" s="3" t="s">
        <v>51</v>
      </c>
      <c r="M26" s="3" t="s">
        <v>51</v>
      </c>
      <c r="N26" s="3" t="s">
        <v>51</v>
      </c>
      <c r="O26" s="3"/>
    </row>
    <row r="27" spans="1:15" ht="30" customHeight="1" x14ac:dyDescent="0.2">
      <c r="A27" s="8" t="s">
        <v>42</v>
      </c>
      <c r="B27" s="8" t="s">
        <v>67</v>
      </c>
      <c r="C27" s="8" t="s">
        <v>97</v>
      </c>
      <c r="D27" s="8" t="s">
        <v>98</v>
      </c>
      <c r="E27" s="9" t="s">
        <v>77</v>
      </c>
      <c r="F27" s="8" t="s">
        <v>99</v>
      </c>
      <c r="G27" s="8" t="s">
        <v>100</v>
      </c>
      <c r="H27" s="8" t="s">
        <v>101</v>
      </c>
      <c r="I27" s="8" t="s">
        <v>102</v>
      </c>
      <c r="J27" s="8" t="s">
        <v>103</v>
      </c>
      <c r="K27" s="8"/>
      <c r="L27" s="8" t="s">
        <v>51</v>
      </c>
      <c r="M27" s="8" t="s">
        <v>51</v>
      </c>
      <c r="N27" s="8" t="s">
        <v>51</v>
      </c>
      <c r="O27" s="8"/>
    </row>
    <row r="28" spans="1:15" ht="33" customHeight="1" x14ac:dyDescent="0.2">
      <c r="A28" s="3" t="s">
        <v>42</v>
      </c>
      <c r="B28" s="3" t="s">
        <v>67</v>
      </c>
      <c r="C28" s="3" t="s">
        <v>104</v>
      </c>
      <c r="D28" s="3" t="s">
        <v>105</v>
      </c>
      <c r="E28" s="7" t="s">
        <v>77</v>
      </c>
      <c r="F28" s="3" t="s">
        <v>106</v>
      </c>
      <c r="G28" s="3" t="s">
        <v>107</v>
      </c>
      <c r="H28" s="3" t="s">
        <v>108</v>
      </c>
      <c r="I28" s="3" t="s">
        <v>109</v>
      </c>
      <c r="J28" s="3" t="s">
        <v>110</v>
      </c>
      <c r="K28" s="3"/>
      <c r="L28" s="3" t="s">
        <v>51</v>
      </c>
      <c r="M28" s="3" t="s">
        <v>51</v>
      </c>
      <c r="N28" s="3" t="s">
        <v>51</v>
      </c>
      <c r="O28" s="3"/>
    </row>
    <row r="29" spans="1:15" ht="26" customHeight="1" x14ac:dyDescent="0.2">
      <c r="A29" s="6"/>
      <c r="B29" s="6"/>
      <c r="C29" s="15" t="s">
        <v>111</v>
      </c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2"/>
    </row>
    <row r="30" spans="1:15" ht="30" customHeight="1" x14ac:dyDescent="0.2">
      <c r="A30" s="8" t="s">
        <v>42</v>
      </c>
      <c r="B30" s="8" t="s">
        <v>112</v>
      </c>
      <c r="C30" s="8" t="s">
        <v>113</v>
      </c>
      <c r="D30" s="8" t="s">
        <v>114</v>
      </c>
      <c r="E30" s="9" t="s">
        <v>45</v>
      </c>
      <c r="F30" s="8" t="s">
        <v>115</v>
      </c>
      <c r="G30" s="8" t="s">
        <v>116</v>
      </c>
      <c r="H30" s="8" t="s">
        <v>117</v>
      </c>
      <c r="I30" s="8" t="s">
        <v>118</v>
      </c>
      <c r="J30" s="8" t="s">
        <v>119</v>
      </c>
      <c r="K30" s="8"/>
      <c r="L30" s="8" t="s">
        <v>51</v>
      </c>
      <c r="M30" s="8" t="s">
        <v>51</v>
      </c>
      <c r="N30" s="8" t="s">
        <v>51</v>
      </c>
      <c r="O30" s="8"/>
    </row>
    <row r="31" spans="1:15" ht="35" customHeight="1" x14ac:dyDescent="0.2">
      <c r="A31" s="3" t="s">
        <v>42</v>
      </c>
      <c r="B31" s="3" t="s">
        <v>112</v>
      </c>
      <c r="C31" s="3" t="s">
        <v>120</v>
      </c>
      <c r="D31" s="3" t="s">
        <v>121</v>
      </c>
      <c r="E31" s="7" t="s">
        <v>45</v>
      </c>
      <c r="F31" s="3" t="s">
        <v>122</v>
      </c>
      <c r="G31" s="3" t="s">
        <v>123</v>
      </c>
      <c r="H31" s="3" t="s">
        <v>124</v>
      </c>
      <c r="I31" s="3" t="s">
        <v>125</v>
      </c>
      <c r="J31" s="3" t="s">
        <v>126</v>
      </c>
      <c r="K31" s="3"/>
      <c r="L31" s="3" t="s">
        <v>51</v>
      </c>
      <c r="M31" s="3" t="s">
        <v>51</v>
      </c>
      <c r="N31" s="3" t="s">
        <v>51</v>
      </c>
      <c r="O31" s="3"/>
    </row>
    <row r="32" spans="1:15" ht="32" customHeight="1" x14ac:dyDescent="0.2">
      <c r="A32" s="8" t="s">
        <v>42</v>
      </c>
      <c r="B32" s="8" t="s">
        <v>112</v>
      </c>
      <c r="C32" s="8" t="s">
        <v>127</v>
      </c>
      <c r="D32" s="8" t="s">
        <v>128</v>
      </c>
      <c r="E32" s="9" t="s">
        <v>45</v>
      </c>
      <c r="F32" s="8" t="s">
        <v>129</v>
      </c>
      <c r="G32" s="8" t="s">
        <v>130</v>
      </c>
      <c r="H32" s="8" t="s">
        <v>131</v>
      </c>
      <c r="I32" s="8" t="s">
        <v>132</v>
      </c>
      <c r="J32" s="8" t="s">
        <v>133</v>
      </c>
      <c r="K32" s="8"/>
      <c r="L32" s="8" t="s">
        <v>51</v>
      </c>
      <c r="M32" s="8" t="s">
        <v>51</v>
      </c>
      <c r="N32" s="8" t="s">
        <v>51</v>
      </c>
      <c r="O32" s="8"/>
    </row>
    <row r="33" spans="1:15" ht="30" customHeight="1" x14ac:dyDescent="0.2">
      <c r="A33" s="3" t="s">
        <v>42</v>
      </c>
      <c r="B33" s="3" t="s">
        <v>112</v>
      </c>
      <c r="C33" s="3" t="s">
        <v>134</v>
      </c>
      <c r="D33" s="3" t="s">
        <v>135</v>
      </c>
      <c r="E33" s="7" t="s">
        <v>45</v>
      </c>
      <c r="F33" s="3" t="s">
        <v>136</v>
      </c>
      <c r="G33" s="3" t="s">
        <v>137</v>
      </c>
      <c r="H33" s="3" t="s">
        <v>138</v>
      </c>
      <c r="I33" s="3" t="s">
        <v>139</v>
      </c>
      <c r="J33" s="3" t="s">
        <v>140</v>
      </c>
      <c r="K33" s="3"/>
      <c r="L33" s="3" t="s">
        <v>51</v>
      </c>
      <c r="M33" s="3" t="s">
        <v>51</v>
      </c>
      <c r="N33" s="3" t="s">
        <v>51</v>
      </c>
      <c r="O33" s="3"/>
    </row>
    <row r="34" spans="1:15" ht="36" customHeight="1" x14ac:dyDescent="0.2">
      <c r="A34" s="8" t="s">
        <v>42</v>
      </c>
      <c r="B34" s="8" t="s">
        <v>112</v>
      </c>
      <c r="C34" s="8" t="s">
        <v>141</v>
      </c>
      <c r="D34" s="8" t="s">
        <v>142</v>
      </c>
      <c r="E34" s="9" t="s">
        <v>45</v>
      </c>
      <c r="F34" s="8" t="s">
        <v>143</v>
      </c>
      <c r="G34" s="8" t="s">
        <v>144</v>
      </c>
      <c r="H34" s="8" t="s">
        <v>145</v>
      </c>
      <c r="I34" s="8" t="s">
        <v>146</v>
      </c>
      <c r="J34" s="8" t="s">
        <v>147</v>
      </c>
      <c r="K34" s="8"/>
      <c r="L34" s="8" t="s">
        <v>51</v>
      </c>
      <c r="M34" s="8" t="s">
        <v>51</v>
      </c>
      <c r="N34" s="8" t="s">
        <v>51</v>
      </c>
      <c r="O34" s="8"/>
    </row>
    <row r="35" spans="1:15" ht="33" customHeight="1" x14ac:dyDescent="0.2">
      <c r="A35" s="3" t="s">
        <v>42</v>
      </c>
      <c r="B35" s="3" t="s">
        <v>112</v>
      </c>
      <c r="C35" s="3" t="s">
        <v>148</v>
      </c>
      <c r="D35" s="3" t="s">
        <v>149</v>
      </c>
      <c r="E35" s="7" t="s">
        <v>77</v>
      </c>
      <c r="F35" s="3" t="s">
        <v>150</v>
      </c>
      <c r="G35" s="3" t="s">
        <v>151</v>
      </c>
      <c r="H35" s="3" t="s">
        <v>152</v>
      </c>
      <c r="I35" s="3" t="s">
        <v>153</v>
      </c>
      <c r="J35" s="3" t="s">
        <v>154</v>
      </c>
      <c r="K35" s="3"/>
      <c r="L35" s="3" t="s">
        <v>51</v>
      </c>
      <c r="M35" s="3" t="s">
        <v>51</v>
      </c>
      <c r="N35" s="3" t="s">
        <v>51</v>
      </c>
      <c r="O35" s="3"/>
    </row>
    <row r="36" spans="1:15" ht="30" customHeight="1" x14ac:dyDescent="0.2">
      <c r="A36" s="8" t="s">
        <v>42</v>
      </c>
      <c r="B36" s="8" t="s">
        <v>112</v>
      </c>
      <c r="C36" s="8" t="s">
        <v>155</v>
      </c>
      <c r="D36" s="8" t="s">
        <v>156</v>
      </c>
      <c r="E36" s="9" t="s">
        <v>77</v>
      </c>
      <c r="F36" s="8" t="s">
        <v>157</v>
      </c>
      <c r="G36" s="8" t="s">
        <v>158</v>
      </c>
      <c r="H36" s="8" t="s">
        <v>159</v>
      </c>
      <c r="I36" s="8" t="s">
        <v>160</v>
      </c>
      <c r="J36" s="8" t="s">
        <v>161</v>
      </c>
      <c r="K36" s="8"/>
      <c r="L36" s="8" t="s">
        <v>51</v>
      </c>
      <c r="M36" s="8" t="s">
        <v>51</v>
      </c>
      <c r="N36" s="8" t="s">
        <v>51</v>
      </c>
      <c r="O36" s="8"/>
    </row>
    <row r="37" spans="1:15" ht="31" customHeight="1" x14ac:dyDescent="0.2">
      <c r="A37" s="3" t="s">
        <v>42</v>
      </c>
      <c r="B37" s="3" t="s">
        <v>112</v>
      </c>
      <c r="C37" s="3" t="s">
        <v>162</v>
      </c>
      <c r="D37" s="3" t="s">
        <v>163</v>
      </c>
      <c r="E37" s="7" t="s">
        <v>77</v>
      </c>
      <c r="F37" s="3" t="s">
        <v>164</v>
      </c>
      <c r="G37" s="3" t="s">
        <v>165</v>
      </c>
      <c r="H37" s="3" t="s">
        <v>166</v>
      </c>
      <c r="I37" s="3" t="s">
        <v>167</v>
      </c>
      <c r="J37" s="3" t="s">
        <v>168</v>
      </c>
      <c r="K37" s="3"/>
      <c r="L37" s="3" t="s">
        <v>51</v>
      </c>
      <c r="M37" s="3" t="s">
        <v>51</v>
      </c>
      <c r="N37" s="3" t="s">
        <v>51</v>
      </c>
      <c r="O37" s="3"/>
    </row>
    <row r="38" spans="1:15" ht="26" customHeight="1" x14ac:dyDescent="0.2">
      <c r="A38" s="6"/>
      <c r="B38" s="6"/>
      <c r="C38" s="15" t="s">
        <v>169</v>
      </c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2"/>
    </row>
    <row r="39" spans="1:15" ht="30" customHeight="1" x14ac:dyDescent="0.2">
      <c r="A39" s="8" t="s">
        <v>42</v>
      </c>
      <c r="B39" s="8" t="s">
        <v>170</v>
      </c>
      <c r="C39" s="8" t="s">
        <v>171</v>
      </c>
      <c r="D39" s="8" t="s">
        <v>172</v>
      </c>
      <c r="E39" s="9" t="s">
        <v>77</v>
      </c>
      <c r="F39" s="8" t="s">
        <v>173</v>
      </c>
      <c r="G39" s="8" t="s">
        <v>174</v>
      </c>
      <c r="H39" s="8" t="s">
        <v>175</v>
      </c>
      <c r="I39" s="8" t="s">
        <v>176</v>
      </c>
      <c r="J39" s="8" t="s">
        <v>177</v>
      </c>
      <c r="K39" s="8"/>
      <c r="L39" s="8" t="s">
        <v>51</v>
      </c>
      <c r="M39" s="8" t="s">
        <v>51</v>
      </c>
      <c r="N39" s="8" t="s">
        <v>51</v>
      </c>
      <c r="O39" s="8"/>
    </row>
    <row r="40" spans="1:15" ht="39" customHeight="1" x14ac:dyDescent="0.2">
      <c r="A40" s="3" t="s">
        <v>42</v>
      </c>
      <c r="B40" s="3" t="s">
        <v>170</v>
      </c>
      <c r="C40" s="3" t="s">
        <v>178</v>
      </c>
      <c r="D40" s="3" t="s">
        <v>179</v>
      </c>
      <c r="E40" s="7" t="s">
        <v>45</v>
      </c>
      <c r="F40" s="3" t="s">
        <v>180</v>
      </c>
      <c r="G40" s="3" t="s">
        <v>181</v>
      </c>
      <c r="H40" s="3" t="s">
        <v>182</v>
      </c>
      <c r="I40" s="3" t="s">
        <v>183</v>
      </c>
      <c r="J40" s="3" t="s">
        <v>184</v>
      </c>
      <c r="K40" s="3"/>
      <c r="L40" s="3" t="s">
        <v>51</v>
      </c>
      <c r="M40" s="3" t="s">
        <v>51</v>
      </c>
      <c r="N40" s="3" t="s">
        <v>51</v>
      </c>
      <c r="O40" s="3"/>
    </row>
    <row r="41" spans="1:15" ht="39" customHeight="1" x14ac:dyDescent="0.2">
      <c r="A41" s="8" t="s">
        <v>42</v>
      </c>
      <c r="B41" s="8" t="s">
        <v>170</v>
      </c>
      <c r="C41" s="8" t="s">
        <v>185</v>
      </c>
      <c r="D41" s="8" t="s">
        <v>186</v>
      </c>
      <c r="E41" s="9" t="s">
        <v>45</v>
      </c>
      <c r="F41" s="8" t="s">
        <v>187</v>
      </c>
      <c r="G41" s="8" t="s">
        <v>188</v>
      </c>
      <c r="H41" s="8" t="s">
        <v>189</v>
      </c>
      <c r="I41" s="8" t="s">
        <v>190</v>
      </c>
      <c r="J41" s="8" t="s">
        <v>191</v>
      </c>
      <c r="K41" s="8"/>
      <c r="L41" s="8" t="s">
        <v>51</v>
      </c>
      <c r="M41" s="8" t="s">
        <v>51</v>
      </c>
      <c r="N41" s="8" t="s">
        <v>51</v>
      </c>
      <c r="O41" s="8"/>
    </row>
    <row r="42" spans="1:15" ht="38" customHeight="1" x14ac:dyDescent="0.2">
      <c r="A42" s="3" t="s">
        <v>42</v>
      </c>
      <c r="B42" s="3" t="s">
        <v>170</v>
      </c>
      <c r="C42" s="3" t="s">
        <v>192</v>
      </c>
      <c r="D42" s="3" t="s">
        <v>193</v>
      </c>
      <c r="E42" s="7" t="s">
        <v>45</v>
      </c>
      <c r="F42" s="3" t="s">
        <v>194</v>
      </c>
      <c r="G42" s="3" t="s">
        <v>195</v>
      </c>
      <c r="H42" s="3" t="s">
        <v>196</v>
      </c>
      <c r="I42" s="3" t="s">
        <v>197</v>
      </c>
      <c r="J42" s="3" t="s">
        <v>198</v>
      </c>
      <c r="K42" s="3"/>
      <c r="L42" s="3" t="s">
        <v>51</v>
      </c>
      <c r="M42" s="3" t="s">
        <v>51</v>
      </c>
      <c r="N42" s="3" t="s">
        <v>51</v>
      </c>
      <c r="O42" s="3"/>
    </row>
    <row r="43" spans="1:15" ht="30" customHeight="1" x14ac:dyDescent="0.2">
      <c r="A43" s="8" t="s">
        <v>42</v>
      </c>
      <c r="B43" s="8" t="s">
        <v>170</v>
      </c>
      <c r="C43" s="8" t="s">
        <v>199</v>
      </c>
      <c r="D43" s="8" t="s">
        <v>200</v>
      </c>
      <c r="E43" s="9" t="s">
        <v>201</v>
      </c>
      <c r="F43" s="8" t="s">
        <v>202</v>
      </c>
      <c r="G43" s="8" t="s">
        <v>203</v>
      </c>
      <c r="H43" s="8" t="s">
        <v>204</v>
      </c>
      <c r="I43" s="8" t="s">
        <v>205</v>
      </c>
      <c r="J43" s="8" t="s">
        <v>206</v>
      </c>
      <c r="K43" s="8"/>
      <c r="L43" s="8" t="s">
        <v>51</v>
      </c>
      <c r="M43" s="8" t="s">
        <v>51</v>
      </c>
      <c r="N43" s="8" t="s">
        <v>51</v>
      </c>
      <c r="O43" s="8"/>
    </row>
    <row r="44" spans="1:15" ht="30" customHeight="1" x14ac:dyDescent="0.2">
      <c r="A44" s="3" t="s">
        <v>42</v>
      </c>
      <c r="B44" s="3" t="s">
        <v>170</v>
      </c>
      <c r="C44" s="3" t="s">
        <v>207</v>
      </c>
      <c r="D44" s="3" t="s">
        <v>208</v>
      </c>
      <c r="E44" s="7" t="s">
        <v>201</v>
      </c>
      <c r="F44" s="3" t="s">
        <v>209</v>
      </c>
      <c r="G44" s="3" t="s">
        <v>210</v>
      </c>
      <c r="H44" s="3" t="s">
        <v>211</v>
      </c>
      <c r="I44" s="3" t="s">
        <v>212</v>
      </c>
      <c r="J44" s="3" t="s">
        <v>213</v>
      </c>
      <c r="K44" s="3"/>
      <c r="L44" s="3" t="s">
        <v>51</v>
      </c>
      <c r="M44" s="3" t="s">
        <v>51</v>
      </c>
      <c r="N44" s="3" t="s">
        <v>51</v>
      </c>
      <c r="O44" s="3"/>
    </row>
    <row r="45" spans="1:15" ht="30" customHeight="1" x14ac:dyDescent="0.2">
      <c r="A45" s="8" t="s">
        <v>42</v>
      </c>
      <c r="B45" s="8" t="s">
        <v>170</v>
      </c>
      <c r="C45" s="8" t="s">
        <v>214</v>
      </c>
      <c r="D45" s="8" t="s">
        <v>215</v>
      </c>
      <c r="E45" s="9" t="s">
        <v>201</v>
      </c>
      <c r="F45" s="8" t="s">
        <v>216</v>
      </c>
      <c r="G45" s="8" t="s">
        <v>217</v>
      </c>
      <c r="H45" s="8" t="s">
        <v>218</v>
      </c>
      <c r="I45" s="8" t="s">
        <v>219</v>
      </c>
      <c r="J45" s="8" t="s">
        <v>220</v>
      </c>
      <c r="K45" s="8"/>
      <c r="L45" s="8" t="s">
        <v>51</v>
      </c>
      <c r="M45" s="8" t="s">
        <v>51</v>
      </c>
      <c r="N45" s="8" t="s">
        <v>51</v>
      </c>
      <c r="O45" s="8"/>
    </row>
    <row r="46" spans="1:15" ht="30" customHeight="1" x14ac:dyDescent="0.2">
      <c r="A46" s="3" t="s">
        <v>42</v>
      </c>
      <c r="B46" s="3" t="s">
        <v>170</v>
      </c>
      <c r="C46" s="3" t="s">
        <v>221</v>
      </c>
      <c r="D46" s="3" t="s">
        <v>222</v>
      </c>
      <c r="E46" s="7" t="s">
        <v>77</v>
      </c>
      <c r="F46" s="3" t="s">
        <v>223</v>
      </c>
      <c r="G46" s="3" t="s">
        <v>224</v>
      </c>
      <c r="H46" s="3" t="s">
        <v>225</v>
      </c>
      <c r="I46" s="3" t="s">
        <v>226</v>
      </c>
      <c r="J46" s="3" t="s">
        <v>227</v>
      </c>
      <c r="K46" s="3"/>
      <c r="L46" s="3" t="s">
        <v>51</v>
      </c>
      <c r="M46" s="3" t="s">
        <v>51</v>
      </c>
      <c r="N46" s="3" t="s">
        <v>51</v>
      </c>
      <c r="O46" s="3"/>
    </row>
    <row r="47" spans="1:15" ht="26" customHeight="1" x14ac:dyDescent="0.2">
      <c r="A47" s="6"/>
      <c r="B47" s="6"/>
      <c r="C47" s="15" t="s">
        <v>228</v>
      </c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2"/>
    </row>
    <row r="48" spans="1:15" ht="36" customHeight="1" x14ac:dyDescent="0.2">
      <c r="A48" s="8" t="s">
        <v>42</v>
      </c>
      <c r="B48" s="8" t="s">
        <v>229</v>
      </c>
      <c r="C48" s="8" t="s">
        <v>230</v>
      </c>
      <c r="D48" s="8" t="s">
        <v>231</v>
      </c>
      <c r="E48" s="9" t="s">
        <v>45</v>
      </c>
      <c r="F48" s="8" t="s">
        <v>232</v>
      </c>
      <c r="G48" s="8" t="s">
        <v>233</v>
      </c>
      <c r="H48" s="8" t="s">
        <v>234</v>
      </c>
      <c r="I48" s="8" t="s">
        <v>235</v>
      </c>
      <c r="J48" s="8" t="s">
        <v>236</v>
      </c>
      <c r="K48" s="8"/>
      <c r="L48" s="8" t="s">
        <v>51</v>
      </c>
      <c r="M48" s="8" t="s">
        <v>51</v>
      </c>
      <c r="N48" s="8" t="s">
        <v>51</v>
      </c>
      <c r="O48" s="8"/>
    </row>
    <row r="49" spans="1:15" ht="30" customHeight="1" x14ac:dyDescent="0.2">
      <c r="A49" s="3" t="s">
        <v>42</v>
      </c>
      <c r="B49" s="3" t="s">
        <v>229</v>
      </c>
      <c r="C49" s="3" t="s">
        <v>237</v>
      </c>
      <c r="D49" s="3" t="s">
        <v>238</v>
      </c>
      <c r="E49" s="7" t="s">
        <v>45</v>
      </c>
      <c r="F49" s="3" t="s">
        <v>239</v>
      </c>
      <c r="G49" s="3" t="s">
        <v>240</v>
      </c>
      <c r="H49" s="3" t="s">
        <v>241</v>
      </c>
      <c r="I49" s="3" t="s">
        <v>242</v>
      </c>
      <c r="J49" s="3" t="s">
        <v>243</v>
      </c>
      <c r="K49" s="3"/>
      <c r="L49" s="3" t="s">
        <v>51</v>
      </c>
      <c r="M49" s="3" t="s">
        <v>51</v>
      </c>
      <c r="N49" s="3" t="s">
        <v>51</v>
      </c>
      <c r="O49" s="3"/>
    </row>
    <row r="50" spans="1:15" ht="30" customHeight="1" x14ac:dyDescent="0.2">
      <c r="A50" s="8" t="s">
        <v>42</v>
      </c>
      <c r="B50" s="8" t="s">
        <v>229</v>
      </c>
      <c r="C50" s="8" t="s">
        <v>244</v>
      </c>
      <c r="D50" s="8" t="s">
        <v>245</v>
      </c>
      <c r="E50" s="9" t="s">
        <v>77</v>
      </c>
      <c r="F50" s="8" t="s">
        <v>246</v>
      </c>
      <c r="G50" s="8" t="s">
        <v>247</v>
      </c>
      <c r="H50" s="8" t="s">
        <v>248</v>
      </c>
      <c r="I50" s="8" t="s">
        <v>249</v>
      </c>
      <c r="J50" s="8" t="s">
        <v>50</v>
      </c>
      <c r="K50" s="8"/>
      <c r="L50" s="8" t="s">
        <v>51</v>
      </c>
      <c r="M50" s="8" t="s">
        <v>51</v>
      </c>
      <c r="N50" s="8" t="s">
        <v>51</v>
      </c>
      <c r="O50" s="8"/>
    </row>
    <row r="51" spans="1:15" ht="26" customHeight="1" x14ac:dyDescent="0.2">
      <c r="A51" s="6"/>
      <c r="B51" s="6"/>
      <c r="C51" s="15" t="s">
        <v>250</v>
      </c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2"/>
    </row>
    <row r="52" spans="1:15" ht="39" customHeight="1" x14ac:dyDescent="0.2">
      <c r="A52" s="3" t="s">
        <v>42</v>
      </c>
      <c r="B52" s="3" t="s">
        <v>251</v>
      </c>
      <c r="C52" s="3" t="s">
        <v>252</v>
      </c>
      <c r="D52" s="3" t="s">
        <v>253</v>
      </c>
      <c r="E52" s="7" t="s">
        <v>45</v>
      </c>
      <c r="F52" s="3" t="s">
        <v>254</v>
      </c>
      <c r="G52" s="3" t="s">
        <v>255</v>
      </c>
      <c r="H52" s="3" t="s">
        <v>256</v>
      </c>
      <c r="I52" s="3" t="s">
        <v>257</v>
      </c>
      <c r="J52" s="3" t="s">
        <v>258</v>
      </c>
      <c r="K52" s="3"/>
      <c r="L52" s="3" t="s">
        <v>51</v>
      </c>
      <c r="M52" s="3" t="s">
        <v>51</v>
      </c>
      <c r="N52" s="3" t="s">
        <v>51</v>
      </c>
      <c r="O52" s="3"/>
    </row>
    <row r="53" spans="1:15" ht="30" customHeight="1" x14ac:dyDescent="0.2">
      <c r="A53" s="8" t="s">
        <v>42</v>
      </c>
      <c r="B53" s="8" t="s">
        <v>251</v>
      </c>
      <c r="C53" s="8" t="s">
        <v>259</v>
      </c>
      <c r="D53" s="8" t="s">
        <v>260</v>
      </c>
      <c r="E53" s="9" t="s">
        <v>45</v>
      </c>
      <c r="F53" s="8" t="s">
        <v>261</v>
      </c>
      <c r="G53" s="8" t="s">
        <v>262</v>
      </c>
      <c r="H53" s="8" t="s">
        <v>256</v>
      </c>
      <c r="I53" s="8" t="s">
        <v>263</v>
      </c>
      <c r="J53" s="8" t="s">
        <v>264</v>
      </c>
      <c r="K53" s="8"/>
      <c r="L53" s="8" t="s">
        <v>51</v>
      </c>
      <c r="M53" s="8" t="s">
        <v>51</v>
      </c>
      <c r="N53" s="8" t="s">
        <v>51</v>
      </c>
      <c r="O53" s="8"/>
    </row>
  </sheetData>
  <mergeCells count="28">
    <mergeCell ref="C51:O51"/>
    <mergeCell ref="C47:O47"/>
    <mergeCell ref="B9:O9"/>
    <mergeCell ref="I11:K11"/>
    <mergeCell ref="L14:O14"/>
    <mergeCell ref="C22:O22"/>
    <mergeCell ref="C38:O38"/>
    <mergeCell ref="I14:K14"/>
    <mergeCell ref="B2:O2"/>
    <mergeCell ref="C18:O18"/>
    <mergeCell ref="B1:O1"/>
    <mergeCell ref="B8:O8"/>
    <mergeCell ref="L13:O13"/>
    <mergeCell ref="I13:K13"/>
    <mergeCell ref="B10:O10"/>
    <mergeCell ref="L12:O12"/>
    <mergeCell ref="B11:E11"/>
    <mergeCell ref="C29:O29"/>
    <mergeCell ref="L15:O15"/>
    <mergeCell ref="F11:H11"/>
    <mergeCell ref="I15:K15"/>
    <mergeCell ref="B6:O6"/>
    <mergeCell ref="B4:O4"/>
    <mergeCell ref="B7:O7"/>
    <mergeCell ref="B3:O3"/>
    <mergeCell ref="I12:K12"/>
    <mergeCell ref="L11:O11"/>
    <mergeCell ref="B5:O5"/>
  </mergeCells>
  <dataValidations count="1">
    <dataValidation type="list" allowBlank="1" sqref="L18:N154" xr:uid="{00000000-0002-0000-0000-000000000000}">
      <formula1>"Passed,Failed,Pending,Not Executed"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QuotationUnitSelect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2026-07-12T11:22:22Z</dcterms:created>
  <dcterms:modified xsi:type="dcterms:W3CDTF">2026-07-12T11:24:15Z</dcterms:modified>
</cp:coreProperties>
</file>