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case Bonus Distributi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FF1F4E79"/>
      <sz val="14"/>
    </font>
    <font>
      <sz val="11"/>
    </font>
    <font>
      <b val="1"/>
      <color rgb="FFFFFFFF"/>
      <sz val="11"/>
    </font>
    <font>
      <b val="1"/>
      <color rgb="FF1F4E79"/>
      <sz val="11"/>
    </font>
  </fonts>
  <fills count="4">
    <fill>
      <patternFill/>
    </fill>
    <fill>
      <patternFill patternType="gray125"/>
    </fill>
    <fill>
      <patternFill patternType="solid">
        <fgColor rgb="FF4472C4"/>
        <bgColor rgb="FF4472C4"/>
      </patternFill>
    </fill>
    <fill>
      <patternFill patternType="solid">
        <fgColor rgb="FFD6E4F0"/>
        <bgColor rgb="FFD6E4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4" fillId="3" borderId="1" pivotButton="0" quotePrefix="0" xfId="0"/>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cols>
    <col width="14" customWidth="1" min="1" max="1"/>
    <col width="18" customWidth="1" min="2" max="2"/>
    <col width="16" customWidth="1" min="3" max="3"/>
    <col width="40" customWidth="1" min="4" max="4"/>
    <col width="10" customWidth="1" min="5" max="5"/>
    <col width="30" customWidth="1" min="6" max="6"/>
    <col width="50" customWidth="1" min="7" max="7"/>
    <col width="20" customWidth="1" min="8" max="8"/>
    <col width="12" customWidth="1" min="9" max="9"/>
    <col width="55" customWidth="1" min="10" max="10"/>
    <col width="15" customWidth="1" min="11" max="11"/>
    <col width="14" customWidth="1" min="12" max="12"/>
    <col width="15" customWidth="1" min="13" max="13"/>
  </cols>
  <sheetData>
    <row r="1">
      <c r="A1" s="1" t="inlineStr">
        <is>
          <t>Testcase _ Bảng chia thưởng cuối năm (Bonus Distribution)</t>
        </is>
      </c>
      <c r="F1" s="2" t="inlineStr">
        <is>
          <t>TEST SUMMARY</t>
        </is>
      </c>
      <c r="J1" s="2" t="inlineStr">
        <is>
          <t>Passed:</t>
        </is>
      </c>
      <c r="K1" s="2">
        <f>COUNTIF(L8:L500,"Passed")</f>
        <v/>
      </c>
    </row>
    <row r="2">
      <c r="J2" s="2" t="inlineStr">
        <is>
          <t>Failed:</t>
        </is>
      </c>
      <c r="K2" s="2">
        <f>COUNTIF(L8:L500,"Failed")</f>
        <v/>
      </c>
    </row>
    <row r="3">
      <c r="J3" s="2" t="inlineStr">
        <is>
          <t>Pending:</t>
        </is>
      </c>
      <c r="K3" s="2">
        <f>COUNTIF(L8:L500,"Pending")</f>
        <v/>
      </c>
    </row>
    <row r="4">
      <c r="J4" s="2" t="inlineStr">
        <is>
          <t>Not Executed:</t>
        </is>
      </c>
      <c r="K4" s="2">
        <f>COUNTIF(L8:L500,"Not Executed")</f>
        <v/>
      </c>
    </row>
    <row r="5">
      <c r="J5" s="2" t="inlineStr">
        <is>
          <t>Tổng:</t>
        </is>
      </c>
      <c r="K5" s="2">
        <f>COUNTA(L8:L500)</f>
        <v/>
      </c>
    </row>
    <row r="6" ht="30" customHeight="1">
      <c r="A6" s="3" t="inlineStr">
        <is>
          <t>Module</t>
        </is>
      </c>
      <c r="B6" s="3" t="inlineStr">
        <is>
          <t>Nhóm chức năng</t>
        </is>
      </c>
      <c r="C6" s="3" t="inlineStr">
        <is>
          <t>TC ID</t>
        </is>
      </c>
      <c r="D6" s="3" t="inlineStr">
        <is>
          <t>Chức năng</t>
        </is>
      </c>
      <c r="E6" s="3" t="inlineStr">
        <is>
          <t>Priority</t>
        </is>
      </c>
      <c r="F6" s="3" t="inlineStr">
        <is>
          <t>Tiền điều kiện</t>
        </is>
      </c>
      <c r="G6" s="3" t="inlineStr">
        <is>
          <t>Bước thực hiện</t>
        </is>
      </c>
      <c r="H6" s="3" t="inlineStr">
        <is>
          <t>Test Data</t>
        </is>
      </c>
      <c r="I6" s="3" t="inlineStr">
        <is>
          <t>Test Data</t>
        </is>
      </c>
      <c r="J6" s="3" t="inlineStr">
        <is>
          <t>Expected Result (chi tiết)</t>
        </is>
      </c>
      <c r="K6" s="3" t="inlineStr">
        <is>
          <t>KQ thực tế</t>
        </is>
      </c>
      <c r="L6" s="3" t="inlineStr">
        <is>
          <t>Status</t>
        </is>
      </c>
      <c r="M6" s="3" t="inlineStr">
        <is>
          <t>Ghi chú</t>
        </is>
      </c>
    </row>
    <row r="7">
      <c r="A7" s="4" t="n"/>
      <c r="B7" s="4" t="n"/>
      <c r="C7" s="5" t="inlineStr">
        <is>
          <t>I. TRANG DANH SÁCH BẢNG CHIA THƯỞNG (/payroll/bonus-distribution)</t>
        </is>
      </c>
      <c r="D7" s="4" t="n"/>
      <c r="E7" s="4" t="n"/>
      <c r="F7" s="4" t="n"/>
      <c r="G7" s="4" t="n"/>
      <c r="H7" s="4" t="n"/>
      <c r="I7" s="4" t="n"/>
      <c r="J7" s="4" t="n"/>
      <c r="K7" s="4" t="n"/>
      <c r="L7" s="4" t="n"/>
      <c r="M7" s="4" t="n"/>
    </row>
    <row r="8">
      <c r="A8" s="6" t="inlineStr">
        <is>
          <t>Payroll</t>
        </is>
      </c>
      <c r="B8" s="6" t="inlineStr">
        <is>
          <t>Bảng chia thưởng</t>
        </is>
      </c>
      <c r="C8" s="6" t="inlineStr">
        <is>
          <t>BD_001.001</t>
        </is>
      </c>
      <c r="D8" s="6" t="inlineStr">
        <is>
          <t>Hiển thị trang danh sách</t>
        </is>
      </c>
      <c r="E8" s="6" t="inlineStr">
        <is>
          <t>P0</t>
        </is>
      </c>
      <c r="F8" s="6" t="inlineStr">
        <is>
          <t>Đăng nhập, có quyền Payroll</t>
        </is>
      </c>
      <c r="G8" s="6" t="inlineStr">
        <is>
          <t>1. Vào menu Tính lương &gt; Bảng chia thưởng cuối năm</t>
        </is>
      </c>
      <c r="H8" s="6" t="inlineStr"/>
      <c r="I8" s="6" t="inlineStr"/>
      <c r="J8" s="6" t="inlineStr">
        <is>
          <t>Hiển thị: tiêu đề, nút "Tạo bảng chia thưởng", bộ lọc (Công ty, PB, Năm, Trạng thái, Người tạo, Người duyệt, Từ ngày, Đến ngày), bảng danh sách</t>
        </is>
      </c>
      <c r="K8" s="6" t="inlineStr"/>
      <c r="L8" s="6" t="inlineStr">
        <is>
          <t>Not Executed</t>
        </is>
      </c>
      <c r="M8" s="6" t="inlineStr"/>
    </row>
    <row r="9">
      <c r="A9" s="6" t="inlineStr">
        <is>
          <t>Payroll</t>
        </is>
      </c>
      <c r="B9" s="6" t="inlineStr">
        <is>
          <t>Bảng chia thưởng</t>
        </is>
      </c>
      <c r="C9" s="6" t="inlineStr">
        <is>
          <t>BD_001.002</t>
        </is>
      </c>
      <c r="D9" s="6" t="inlineStr">
        <is>
          <t>Hiển thị dữ liệu đúng</t>
        </is>
      </c>
      <c r="E9" s="6" t="inlineStr">
        <is>
          <t>P0</t>
        </is>
      </c>
      <c r="F9" s="6" t="inlineStr">
        <is>
          <t>Có dữ liệu bảng chia thưởng</t>
        </is>
      </c>
      <c r="G9" s="6" t="inlineStr">
        <is>
          <t>1. Mở trang danh sách</t>
        </is>
      </c>
      <c r="H9" s="6" t="inlineStr"/>
      <c r="I9" s="6" t="inlineStr"/>
      <c r="J9" s="6" t="inlineStr">
        <is>
          <t>Cột: STT, Mã phiếu (link), Công ty, Phòng ban, Năm, Tổng quỹ (format dấu phẩy), Người lập, Ngày lập, Người duyệt, Ngày duyệt, Trạng thái (badge màu), Thao tác. Sắp xếp mới nhất trước</t>
        </is>
      </c>
      <c r="K9" s="6" t="inlineStr"/>
      <c r="L9" s="6" t="inlineStr">
        <is>
          <t>Not Executed</t>
        </is>
      </c>
      <c r="M9" s="6" t="inlineStr"/>
    </row>
    <row r="10">
      <c r="A10" s="6" t="inlineStr">
        <is>
          <t>Payroll</t>
        </is>
      </c>
      <c r="B10" s="6" t="inlineStr">
        <is>
          <t>Bảng chia thưởng</t>
        </is>
      </c>
      <c r="C10" s="6" t="inlineStr">
        <is>
          <t>BD_001.003</t>
        </is>
      </c>
      <c r="D10" s="6" t="inlineStr">
        <is>
          <t>Lọc theo công ty</t>
        </is>
      </c>
      <c r="E10" s="6" t="inlineStr">
        <is>
          <t>P0</t>
        </is>
      </c>
      <c r="F10" s="6" t="inlineStr"/>
      <c r="G10" s="6" t="inlineStr">
        <is>
          <t>1. Chọn công ty trong bộ lọc
2. Nhấn tìm kiếm</t>
        </is>
      </c>
      <c r="H10" s="6" t="inlineStr">
        <is>
          <t>Company: Công ty A</t>
        </is>
      </c>
      <c r="I10" s="6" t="inlineStr"/>
      <c r="J10" s="6" t="inlineStr">
        <is>
          <t>Chỉ hiện bảng thuộc công ty đã chọn</t>
        </is>
      </c>
      <c r="K10" s="6" t="inlineStr"/>
      <c r="L10" s="6" t="inlineStr">
        <is>
          <t>Not Executed</t>
        </is>
      </c>
      <c r="M10" s="6" t="inlineStr"/>
    </row>
    <row r="11">
      <c r="A11" s="6" t="inlineStr">
        <is>
          <t>Payroll</t>
        </is>
      </c>
      <c r="B11" s="6" t="inlineStr">
        <is>
          <t>Bảng chia thưởng</t>
        </is>
      </c>
      <c r="C11" s="6" t="inlineStr">
        <is>
          <t>BD_001.004</t>
        </is>
      </c>
      <c r="D11" s="6" t="inlineStr">
        <is>
          <t>Lọc theo phòng ban</t>
        </is>
      </c>
      <c r="E11" s="6" t="inlineStr">
        <is>
          <t>P0</t>
        </is>
      </c>
      <c r="F11" s="6" t="inlineStr"/>
      <c r="G11" s="6" t="inlineStr">
        <is>
          <t>1. Chọn phòng ban
2. Nhấn tìm kiếm</t>
        </is>
      </c>
      <c r="H11" s="6" t="inlineStr"/>
      <c r="I11" s="6" t="inlineStr"/>
      <c r="J11" s="6" t="inlineStr">
        <is>
          <t>Chỉ hiện bảng thuộc phòng ban đã chọn</t>
        </is>
      </c>
      <c r="K11" s="6" t="inlineStr"/>
      <c r="L11" s="6" t="inlineStr">
        <is>
          <t>Not Executed</t>
        </is>
      </c>
      <c r="M11" s="6" t="inlineStr"/>
    </row>
    <row r="12">
      <c r="A12" s="6" t="inlineStr">
        <is>
          <t>Payroll</t>
        </is>
      </c>
      <c r="B12" s="6" t="inlineStr">
        <is>
          <t>Bảng chia thưởng</t>
        </is>
      </c>
      <c r="C12" s="6" t="inlineStr">
        <is>
          <t>BD_001.005</t>
        </is>
      </c>
      <c r="D12" s="6" t="inlineStr">
        <is>
          <t>Lọc theo năm</t>
        </is>
      </c>
      <c r="E12" s="6" t="inlineStr">
        <is>
          <t>P0</t>
        </is>
      </c>
      <c r="F12" s="6" t="inlineStr"/>
      <c r="G12" s="6" t="inlineStr">
        <is>
          <t>1. Chọn năm
2. Nhấn tìm kiếm</t>
        </is>
      </c>
      <c r="H12" s="6" t="inlineStr">
        <is>
          <t>Year: 2025</t>
        </is>
      </c>
      <c r="I12" s="6" t="inlineStr"/>
      <c r="J12" s="6" t="inlineStr">
        <is>
          <t>Chỉ hiện bảng của năm 2025</t>
        </is>
      </c>
      <c r="K12" s="6" t="inlineStr"/>
      <c r="L12" s="6" t="inlineStr">
        <is>
          <t>Not Executed</t>
        </is>
      </c>
      <c r="M12" s="6" t="inlineStr"/>
    </row>
    <row r="13">
      <c r="A13" s="6" t="inlineStr">
        <is>
          <t>Payroll</t>
        </is>
      </c>
      <c r="B13" s="6" t="inlineStr">
        <is>
          <t>Bảng chia thưởng</t>
        </is>
      </c>
      <c r="C13" s="6" t="inlineStr">
        <is>
          <t>BD_001.006</t>
        </is>
      </c>
      <c r="D13" s="6" t="inlineStr">
        <is>
          <t>Lọc theo trạng thái</t>
        </is>
      </c>
      <c r="E13" s="6" t="inlineStr">
        <is>
          <t>P0</t>
        </is>
      </c>
      <c r="F13" s="6" t="inlineStr"/>
      <c r="G13" s="6" t="inlineStr">
        <is>
          <t>1. Chọn trạng thái "Đã duyệt"
2. Nhấn tìm kiếm</t>
        </is>
      </c>
      <c r="H13" s="6" t="inlineStr">
        <is>
          <t>Status: Đã duyệt</t>
        </is>
      </c>
      <c r="I13" s="6" t="inlineStr"/>
      <c r="J13" s="6" t="inlineStr">
        <is>
          <t>Chỉ hiện bảng trạng thái Đã duyệt</t>
        </is>
      </c>
      <c r="K13" s="6" t="inlineStr"/>
      <c r="L13" s="6" t="inlineStr">
        <is>
          <t>Not Executed</t>
        </is>
      </c>
      <c r="M13" s="6" t="inlineStr"/>
    </row>
    <row r="14">
      <c r="A14" s="6" t="inlineStr">
        <is>
          <t>Payroll</t>
        </is>
      </c>
      <c r="B14" s="6" t="inlineStr">
        <is>
          <t>Bảng chia thưởng</t>
        </is>
      </c>
      <c r="C14" s="6" t="inlineStr">
        <is>
          <t>BD_001.007</t>
        </is>
      </c>
      <c r="D14" s="6" t="inlineStr">
        <is>
          <t>Lọc theo khoảng thời gian</t>
        </is>
      </c>
      <c r="E14" s="6" t="inlineStr">
        <is>
          <t>P1</t>
        </is>
      </c>
      <c r="F14" s="6" t="inlineStr"/>
      <c r="G14" s="6" t="inlineStr">
        <is>
          <t>1. Chọn Từ ngày, Đến ngày
2. Nhấn tìm kiếm</t>
        </is>
      </c>
      <c r="H14" s="6" t="inlineStr"/>
      <c r="I14" s="6" t="inlineStr"/>
      <c r="J14" s="6" t="inlineStr">
        <is>
          <t>Chỉ hiện bảng có ngày duyệt trong khoảng</t>
        </is>
      </c>
      <c r="K14" s="6" t="inlineStr"/>
      <c r="L14" s="6" t="inlineStr">
        <is>
          <t>Not Executed</t>
        </is>
      </c>
      <c r="M14" s="6" t="inlineStr"/>
    </row>
    <row r="15">
      <c r="A15" s="6" t="inlineStr">
        <is>
          <t>Payroll</t>
        </is>
      </c>
      <c r="B15" s="6" t="inlineStr">
        <is>
          <t>Bảng chia thưởng</t>
        </is>
      </c>
      <c r="C15" s="6" t="inlineStr">
        <is>
          <t>BD_001.008</t>
        </is>
      </c>
      <c r="D15" s="6" t="inlineStr">
        <is>
          <t>Phân trang</t>
        </is>
      </c>
      <c r="E15" s="6" t="inlineStr">
        <is>
          <t>P1</t>
        </is>
      </c>
      <c r="F15" s="6" t="inlineStr">
        <is>
          <t>Có &gt; 10 bảng</t>
        </is>
      </c>
      <c r="G15" s="6" t="inlineStr">
        <is>
          <t>1. Đổi số bản ghi/trang
2. Chuyển trang</t>
        </is>
      </c>
      <c r="H15" s="6" t="inlineStr"/>
      <c r="I15" s="6" t="inlineStr"/>
      <c r="J15" s="6" t="inlineStr">
        <is>
          <t>Phân trang hoạt động đúng, tổng số chính xác</t>
        </is>
      </c>
      <c r="K15" s="6" t="inlineStr"/>
      <c r="L15" s="6" t="inlineStr">
        <is>
          <t>Not Executed</t>
        </is>
      </c>
      <c r="M15" s="6" t="inlineStr"/>
    </row>
    <row r="16">
      <c r="A16" s="6" t="inlineStr">
        <is>
          <t>Payroll</t>
        </is>
      </c>
      <c r="B16" s="6" t="inlineStr">
        <is>
          <t>Bảng chia thưởng</t>
        </is>
      </c>
      <c r="C16" s="6" t="inlineStr">
        <is>
          <t>BD_001.009</t>
        </is>
      </c>
      <c r="D16" s="6" t="inlineStr">
        <is>
          <t>Nút Xem/Sửa/Xoá theo trạng thái</t>
        </is>
      </c>
      <c r="E16" s="6" t="inlineStr">
        <is>
          <t>P0</t>
        </is>
      </c>
      <c r="F16" s="6" t="inlineStr">
        <is>
          <t>Có bảng ở các trạng thái khác nhau</t>
        </is>
      </c>
      <c r="G16" s="6" t="inlineStr">
        <is>
          <t>1. Kiểm tra cột Thao tác</t>
        </is>
      </c>
      <c r="H16" s="6" t="inlineStr"/>
      <c r="I16" s="6" t="inlineStr"/>
      <c r="J16" s="6" t="inlineStr">
        <is>
          <t>Nháp/Không duyệt: hiện Xem + Sửa + Xoá. Chờ duyệt/Đã duyệt: chỉ hiện Xem</t>
        </is>
      </c>
      <c r="K16" s="6" t="inlineStr"/>
      <c r="L16" s="6" t="inlineStr">
        <is>
          <t>Not Executed</t>
        </is>
      </c>
      <c r="M16" s="6" t="inlineStr"/>
    </row>
    <row r="17">
      <c r="A17" s="6" t="inlineStr">
        <is>
          <t>Payroll</t>
        </is>
      </c>
      <c r="B17" s="6" t="inlineStr">
        <is>
          <t>Bảng chia thưởng</t>
        </is>
      </c>
      <c r="C17" s="6" t="inlineStr">
        <is>
          <t>BD_001.010</t>
        </is>
      </c>
      <c r="D17" s="6" t="inlineStr">
        <is>
          <t>Click mã phiếu → chi tiết</t>
        </is>
      </c>
      <c r="E17" s="6" t="inlineStr">
        <is>
          <t>P0</t>
        </is>
      </c>
      <c r="F17" s="6" t="inlineStr"/>
      <c r="G17" s="6" t="inlineStr">
        <is>
          <t>1. Click vào mã phiếu</t>
        </is>
      </c>
      <c r="H17" s="6" t="inlineStr"/>
      <c r="I17" s="6" t="inlineStr"/>
      <c r="J17" s="6" t="inlineStr">
        <is>
          <t>Chuyển sang trang chi tiết bảng chia thưởng</t>
        </is>
      </c>
      <c r="K17" s="6" t="inlineStr"/>
      <c r="L17" s="6" t="inlineStr">
        <is>
          <t>Not Executed</t>
        </is>
      </c>
      <c r="M17" s="6" t="inlineStr"/>
    </row>
    <row r="18">
      <c r="A18" s="4" t="n"/>
      <c r="B18" s="4" t="n"/>
      <c r="C18" s="5" t="inlineStr">
        <is>
          <t>II. TẠO MỚI BẢNG CHIA THƯỞNG</t>
        </is>
      </c>
      <c r="D18" s="4" t="n"/>
      <c r="E18" s="4" t="n"/>
      <c r="F18" s="4" t="n"/>
      <c r="G18" s="4" t="n"/>
      <c r="H18" s="4" t="n"/>
      <c r="I18" s="4" t="n"/>
      <c r="J18" s="4" t="n"/>
      <c r="K18" s="4" t="n"/>
      <c r="L18" s="4" t="n"/>
      <c r="M18" s="4" t="n"/>
    </row>
    <row r="19">
      <c r="A19" s="6" t="inlineStr">
        <is>
          <t>Payroll</t>
        </is>
      </c>
      <c r="B19" s="6" t="inlineStr">
        <is>
          <t>Bảng chia thưởng</t>
        </is>
      </c>
      <c r="C19" s="6" t="inlineStr">
        <is>
          <t>BD_002.001</t>
        </is>
      </c>
      <c r="D19" s="6" t="inlineStr">
        <is>
          <t>Mở form tạo mới</t>
        </is>
      </c>
      <c r="E19" s="6" t="inlineStr">
        <is>
          <t>P0</t>
        </is>
      </c>
      <c r="F19" s="6" t="inlineStr"/>
      <c r="G19" s="6" t="inlineStr">
        <is>
          <t>1. Nhấn "Tạo bảng chia thưởng"</t>
        </is>
      </c>
      <c r="H19" s="6" t="inlineStr"/>
      <c r="I19" s="6" t="inlineStr"/>
      <c r="J19" s="6" t="inlineStr">
        <is>
          <t>Chuyển sang form tạo mới. Tiêu đề "Tạo bảng chia thưởng". Select phòng ban + năm enabled. Có nút HỦY, LƯU NHÁP, LƯU &amp; GỬI DUYỆT</t>
        </is>
      </c>
      <c r="K19" s="6" t="inlineStr"/>
      <c r="L19" s="6" t="inlineStr">
        <is>
          <t>Not Executed</t>
        </is>
      </c>
      <c r="M19" s="6" t="inlineStr"/>
    </row>
    <row r="20">
      <c r="A20" s="6" t="inlineStr">
        <is>
          <t>Payroll</t>
        </is>
      </c>
      <c r="B20" s="6" t="inlineStr">
        <is>
          <t>Bảng chia thưởng</t>
        </is>
      </c>
      <c r="C20" s="6" t="inlineStr">
        <is>
          <t>BD_002.002</t>
        </is>
      </c>
      <c r="D20" s="6" t="inlineStr">
        <is>
          <t>Chọn phòng ban + năm → lấy quỹ thưởng từ ERP</t>
        </is>
      </c>
      <c r="E20" s="6" t="inlineStr">
        <is>
          <t>P0</t>
        </is>
      </c>
      <c r="F20" s="6" t="inlineStr">
        <is>
          <t>ERP có quyết toán đã duyệt cho PB + năm</t>
        </is>
      </c>
      <c r="G20" s="6" t="inlineStr">
        <is>
          <t>1. Chọn phòng ban
2. Chọn năm</t>
        </is>
      </c>
      <c r="H20" s="6" t="inlineStr">
        <is>
          <t>PB: Phòng KD, Năm: 2025</t>
        </is>
      </c>
      <c r="I20" s="6" t="inlineStr"/>
      <c r="J20" s="6" t="inlineStr">
        <is>
          <t>Ô "Tổng quỹ thưởng phòng" tự động hiển thị số tiền từ ERP (format dấu phẩy)</t>
        </is>
      </c>
      <c r="K20" s="6" t="inlineStr"/>
      <c r="L20" s="6" t="inlineStr">
        <is>
          <t>Not Executed</t>
        </is>
      </c>
      <c r="M20" s="6" t="inlineStr"/>
    </row>
    <row r="21">
      <c r="A21" s="6" t="inlineStr">
        <is>
          <t>Payroll</t>
        </is>
      </c>
      <c r="B21" s="6" t="inlineStr">
        <is>
          <t>Bảng chia thưởng</t>
        </is>
      </c>
      <c r="C21" s="6" t="inlineStr">
        <is>
          <t>BD_002.003</t>
        </is>
      </c>
      <c r="D21" s="6" t="inlineStr">
        <is>
          <t>Chọn PB + năm — ERP chưa có quyết toán</t>
        </is>
      </c>
      <c r="E21" s="6" t="inlineStr">
        <is>
          <t>P1</t>
        </is>
      </c>
      <c r="F21" s="6" t="inlineStr">
        <is>
          <t>ERP chưa có quyết toán đã duyệt</t>
        </is>
      </c>
      <c r="G21" s="6" t="inlineStr">
        <is>
          <t>1. Chọn PB + năm</t>
        </is>
      </c>
      <c r="H21" s="6" t="inlineStr"/>
      <c r="I21" s="6" t="inlineStr"/>
      <c r="J21" s="6" t="inlineStr">
        <is>
          <t>Hiển thị lỗi "Chưa có quyết toán đã duyệt cho phòng ban này". Quỹ = 0</t>
        </is>
      </c>
      <c r="K21" s="6" t="inlineStr"/>
      <c r="L21" s="6" t="inlineStr">
        <is>
          <t>Not Executed</t>
        </is>
      </c>
      <c r="M21" s="6" t="inlineStr"/>
    </row>
    <row r="22">
      <c r="A22" s="6" t="inlineStr">
        <is>
          <t>Payroll</t>
        </is>
      </c>
      <c r="B22" s="6" t="inlineStr">
        <is>
          <t>Bảng chia thưởng</t>
        </is>
      </c>
      <c r="C22" s="6" t="inlineStr">
        <is>
          <t>BD_002.004</t>
        </is>
      </c>
      <c r="D22" s="6" t="inlineStr">
        <is>
          <t>Thêm thành phần tính thưởng</t>
        </is>
      </c>
      <c r="E22" s="6" t="inlineStr">
        <is>
          <t>P0</t>
        </is>
      </c>
      <c r="F22" s="6" t="inlineStr"/>
      <c r="G22" s="6" t="inlineStr">
        <is>
          <t>1. Nhấn "Thêm thành phần"
2. Chọn thành phần từ dropdown
3. Nhập % quỹ</t>
        </is>
      </c>
      <c r="H22" s="6" t="inlineStr"/>
      <c r="I22" s="6" t="inlineStr"/>
      <c r="J22" s="6" t="inlineStr">
        <is>
          <t>Dòng mới hiển thị: dropdown TP, Loại (badge), Công thức, % quỹ (input), Quỹ TP (auto), Checkbox điều chỉnh, Nút xoá</t>
        </is>
      </c>
      <c r="K22" s="6" t="inlineStr"/>
      <c r="L22" s="6" t="inlineStr">
        <is>
          <t>Not Executed</t>
        </is>
      </c>
      <c r="M22" s="6" t="inlineStr"/>
    </row>
    <row r="23">
      <c r="A23" s="6" t="inlineStr">
        <is>
          <t>Payroll</t>
        </is>
      </c>
      <c r="B23" s="6" t="inlineStr">
        <is>
          <t>Bảng chia thưởng</t>
        </is>
      </c>
      <c r="C23" s="6" t="inlineStr">
        <is>
          <t>BD_002.005</t>
        </is>
      </c>
      <c r="D23" s="6" t="inlineStr">
        <is>
          <t>Không cho chọn trùng thành phần</t>
        </is>
      </c>
      <c r="E23" s="6" t="inlineStr">
        <is>
          <t>P0</t>
        </is>
      </c>
      <c r="F23" s="6" t="inlineStr">
        <is>
          <t>Đã chọn TP001 ở dòng 1</t>
        </is>
      </c>
      <c r="G23" s="6" t="inlineStr">
        <is>
          <t>1. Thêm dòng mới
2. Mở dropdown</t>
        </is>
      </c>
      <c r="H23" s="6" t="inlineStr"/>
      <c r="I23" s="6" t="inlineStr"/>
      <c r="J23" s="6" t="inlineStr">
        <is>
          <t>Dropdown không hiển thị TP001 (đã chọn). Chỉ hiện các TP chưa chọn</t>
        </is>
      </c>
      <c r="K23" s="6" t="inlineStr"/>
      <c r="L23" s="6" t="inlineStr">
        <is>
          <t>Not Executed</t>
        </is>
      </c>
      <c r="M23" s="6" t="inlineStr"/>
    </row>
    <row r="24">
      <c r="A24" s="6" t="inlineStr">
        <is>
          <t>Payroll</t>
        </is>
      </c>
      <c r="B24" s="6" t="inlineStr">
        <is>
          <t>Bảng chia thưởng</t>
        </is>
      </c>
      <c r="C24" s="6" t="inlineStr">
        <is>
          <t>BD_002.006</t>
        </is>
      </c>
      <c r="D24" s="6" t="inlineStr">
        <is>
          <t>Validate % quỹ tổng không vượt 100</t>
        </is>
      </c>
      <c r="E24" s="6" t="inlineStr">
        <is>
          <t>P0</t>
        </is>
      </c>
      <c r="F24" s="6" t="inlineStr">
        <is>
          <t>Dòng 1: 60%</t>
        </is>
      </c>
      <c r="G24" s="6" t="inlineStr">
        <is>
          <t>1. Dòng 2 nhập 50%</t>
        </is>
      </c>
      <c r="H24" s="6" t="inlineStr"/>
      <c r="I24" s="6" t="inlineStr"/>
      <c r="J24" s="6" t="inlineStr">
        <is>
          <t>Tự động giảm về 40% (max allowed). Hiện toast "Tổng % quỹ không được vượt quá 100%. Tối đa: 40%"</t>
        </is>
      </c>
      <c r="K24" s="6" t="inlineStr"/>
      <c r="L24" s="6" t="inlineStr">
        <is>
          <t>Not Executed</t>
        </is>
      </c>
      <c r="M24" s="6" t="inlineStr"/>
    </row>
    <row r="25">
      <c r="A25" s="6" t="inlineStr">
        <is>
          <t>Payroll</t>
        </is>
      </c>
      <c r="B25" s="6" t="inlineStr">
        <is>
          <t>Bảng chia thưởng</t>
        </is>
      </c>
      <c r="C25" s="6" t="inlineStr">
        <is>
          <t>BD_002.007</t>
        </is>
      </c>
      <c r="D25" s="6" t="inlineStr">
        <is>
          <t>Xoá thành phần trong Select2</t>
        </is>
      </c>
      <c r="E25" s="6" t="inlineStr">
        <is>
          <t>P1</t>
        </is>
      </c>
      <c r="F25" s="6" t="inlineStr">
        <is>
          <t>Đã chọn TP001</t>
        </is>
      </c>
      <c r="G25" s="6" t="inlineStr">
        <is>
          <t>1. Nhấn X xoá trong Select2</t>
        </is>
      </c>
      <c r="H25" s="6" t="inlineStr"/>
      <c r="I25" s="6" t="inlineStr"/>
      <c r="J25" s="6" t="inlineStr">
        <is>
          <t>Thông tin Loại, Công thức bị reset về trống</t>
        </is>
      </c>
      <c r="K25" s="6" t="inlineStr"/>
      <c r="L25" s="6" t="inlineStr">
        <is>
          <t>Not Executed</t>
        </is>
      </c>
      <c r="M25" s="6" t="inlineStr"/>
    </row>
    <row r="26">
      <c r="A26" s="6" t="inlineStr">
        <is>
          <t>Payroll</t>
        </is>
      </c>
      <c r="B26" s="6" t="inlineStr">
        <is>
          <t>Bảng chia thưởng</t>
        </is>
      </c>
      <c r="C26" s="6" t="inlineStr">
        <is>
          <t>BD_002.008</t>
        </is>
      </c>
      <c r="D26" s="6" t="inlineStr">
        <is>
          <t>Xoá dòng thành phần</t>
        </is>
      </c>
      <c r="E26" s="6" t="inlineStr">
        <is>
          <t>P0</t>
        </is>
      </c>
      <c r="F26" s="6" t="inlineStr">
        <is>
          <t>Có 2 dòng TP</t>
        </is>
      </c>
      <c r="G26" s="6" t="inlineStr">
        <is>
          <t>1. Nhấn icon xoá dòng 2</t>
        </is>
      </c>
      <c r="H26" s="6" t="inlineStr"/>
      <c r="I26" s="6" t="inlineStr"/>
      <c r="J26" s="6" t="inlineStr">
        <is>
          <t>Dòng 2 biến mất. Tổng % cập nhật</t>
        </is>
      </c>
      <c r="K26" s="6" t="inlineStr"/>
      <c r="L26" s="6" t="inlineStr">
        <is>
          <t>Not Executed</t>
        </is>
      </c>
      <c r="M26" s="6" t="inlineStr"/>
    </row>
    <row r="27">
      <c r="A27" s="6" t="inlineStr">
        <is>
          <t>Payroll</t>
        </is>
      </c>
      <c r="B27" s="6" t="inlineStr">
        <is>
          <t>Bảng chia thưởng</t>
        </is>
      </c>
      <c r="C27" s="6" t="inlineStr">
        <is>
          <t>BD_002.009</t>
        </is>
      </c>
      <c r="D27" s="6" t="inlineStr">
        <is>
          <t>Lưu nháp thành công</t>
        </is>
      </c>
      <c r="E27" s="6" t="inlineStr">
        <is>
          <t>P0</t>
        </is>
      </c>
      <c r="F27" s="6" t="inlineStr">
        <is>
          <t>Đã thiết lập TP, có quỹ</t>
        </is>
      </c>
      <c r="G27" s="6" t="inlineStr">
        <is>
          <t>1. Nhấn "LƯU NHÁP"</t>
        </is>
      </c>
      <c r="H27" s="6" t="inlineStr"/>
      <c r="I27" s="6" t="inlineStr"/>
      <c r="J27" s="6" t="inlineStr">
        <is>
          <t>Toast "Lưu thành công". Mã phiếu tự sinh. Trạng thái = Nháp</t>
        </is>
      </c>
      <c r="K27" s="6" t="inlineStr"/>
      <c r="L27" s="6" t="inlineStr">
        <is>
          <t>Not Executed</t>
        </is>
      </c>
      <c r="M27" s="6" t="inlineStr"/>
    </row>
    <row r="28">
      <c r="A28" s="6" t="inlineStr">
        <is>
          <t>Payroll</t>
        </is>
      </c>
      <c r="B28" s="6" t="inlineStr">
        <is>
          <t>Bảng chia thưởng</t>
        </is>
      </c>
      <c r="C28" s="6" t="inlineStr">
        <is>
          <t>BD_002.010</t>
        </is>
      </c>
      <c r="D28" s="6" t="inlineStr">
        <is>
          <t>Lưu &amp; Gửi duyệt thành công</t>
        </is>
      </c>
      <c r="E28" s="6" t="inlineStr">
        <is>
          <t>P0</t>
        </is>
      </c>
      <c r="F28" s="6" t="inlineStr">
        <is>
          <t>Tổng % = 100%, có quỹ</t>
        </is>
      </c>
      <c r="G28" s="6" t="inlineStr">
        <is>
          <t>1. Nhấn "LƯU &amp; GỬI DUYỆT"</t>
        </is>
      </c>
      <c r="H28" s="6" t="inlineStr"/>
      <c r="I28" s="6" t="inlineStr"/>
      <c r="J28" s="6" t="inlineStr">
        <is>
          <t>Toast "Gửi duyệt thành công". Trạng thái → Chờ duyệt. Form chuyển readonly</t>
        </is>
      </c>
      <c r="K28" s="6" t="inlineStr"/>
      <c r="L28" s="6" t="inlineStr">
        <is>
          <t>Not Executed</t>
        </is>
      </c>
      <c r="M28" s="6" t="inlineStr"/>
    </row>
    <row r="29">
      <c r="A29" s="6" t="inlineStr">
        <is>
          <t>Payroll</t>
        </is>
      </c>
      <c r="B29" s="6" t="inlineStr">
        <is>
          <t>Bảng chia thưởng</t>
        </is>
      </c>
      <c r="C29" s="6" t="inlineStr">
        <is>
          <t>BD_002.011</t>
        </is>
      </c>
      <c r="D29" s="6" t="inlineStr">
        <is>
          <t>Validate trùng PB + năm</t>
        </is>
      </c>
      <c r="E29" s="6" t="inlineStr">
        <is>
          <t>P0</t>
        </is>
      </c>
      <c r="F29" s="6" t="inlineStr">
        <is>
          <t>Đã có bảng PB KD năm 2025</t>
        </is>
      </c>
      <c r="G29" s="6" t="inlineStr">
        <is>
          <t>1. Tạo mới, chọn PB KD + 2025
2. Lưu</t>
        </is>
      </c>
      <c r="H29" s="6" t="inlineStr"/>
      <c r="I29" s="6" t="inlineStr"/>
      <c r="J29" s="6" t="inlineStr">
        <is>
          <t>Báo lỗi "Phòng ban này đã có bảng chia thưởng cho năm 2025"</t>
        </is>
      </c>
      <c r="K29" s="6" t="inlineStr"/>
      <c r="L29" s="6" t="inlineStr">
        <is>
          <t>Not Executed</t>
        </is>
      </c>
      <c r="M29" s="6" t="inlineStr"/>
    </row>
    <row r="30">
      <c r="A30" s="4" t="n"/>
      <c r="B30" s="4" t="n"/>
      <c r="C30" s="5" t="inlineStr">
        <is>
          <t>III. TÍNH BẢNG THƯỞNG (PREVIEW CALCULATE)</t>
        </is>
      </c>
      <c r="D30" s="4" t="n"/>
      <c r="E30" s="4" t="n"/>
      <c r="F30" s="4" t="n"/>
      <c r="G30" s="4" t="n"/>
      <c r="H30" s="4" t="n"/>
      <c r="I30" s="4" t="n"/>
      <c r="J30" s="4" t="n"/>
      <c r="K30" s="4" t="n"/>
      <c r="L30" s="4" t="n"/>
      <c r="M30" s="4" t="n"/>
    </row>
    <row r="31">
      <c r="A31" s="6" t="inlineStr">
        <is>
          <t>Payroll</t>
        </is>
      </c>
      <c r="B31" s="6" t="inlineStr">
        <is>
          <t>Bảng chia thưởng</t>
        </is>
      </c>
      <c r="C31" s="6" t="inlineStr">
        <is>
          <t>BD_003.001</t>
        </is>
      </c>
      <c r="D31" s="6" t="inlineStr">
        <is>
          <t>Nút Tính bảng thưởng disabled khi % ≠ 100</t>
        </is>
      </c>
      <c r="E31" s="6" t="inlineStr">
        <is>
          <t>P0</t>
        </is>
      </c>
      <c r="F31" s="6" t="inlineStr">
        <is>
          <t>Tổng % = 80%</t>
        </is>
      </c>
      <c r="G31" s="6" t="inlineStr">
        <is>
          <t>1. Kiểm tra nút "Tính bảng thưởng"</t>
        </is>
      </c>
      <c r="H31" s="6" t="inlineStr"/>
      <c r="I31" s="6" t="inlineStr"/>
      <c r="J31" s="6" t="inlineStr">
        <is>
          <t>Nút bị disabled (xám). Không click được</t>
        </is>
      </c>
      <c r="K31" s="6" t="inlineStr"/>
      <c r="L31" s="6" t="inlineStr">
        <is>
          <t>Not Executed</t>
        </is>
      </c>
      <c r="M31" s="6" t="inlineStr"/>
    </row>
    <row r="32">
      <c r="A32" s="6" t="inlineStr">
        <is>
          <t>Payroll</t>
        </is>
      </c>
      <c r="B32" s="6" t="inlineStr">
        <is>
          <t>Bảng chia thưởng</t>
        </is>
      </c>
      <c r="C32" s="6" t="inlineStr">
        <is>
          <t>BD_003.002</t>
        </is>
      </c>
      <c r="D32" s="6" t="inlineStr">
        <is>
          <t>Nút Tính bảng thưởng disabled khi không có quỹ</t>
        </is>
      </c>
      <c r="E32" s="6" t="inlineStr">
        <is>
          <t>P0</t>
        </is>
      </c>
      <c r="F32" s="6" t="inlineStr">
        <is>
          <t>Tổng % = 100%, quỹ = 0</t>
        </is>
      </c>
      <c r="G32" s="6" t="inlineStr">
        <is>
          <t>1. Kiểm tra nút</t>
        </is>
      </c>
      <c r="H32" s="6" t="inlineStr"/>
      <c r="I32" s="6" t="inlineStr"/>
      <c r="J32" s="6" t="inlineStr">
        <is>
          <t>Nút bị disabled</t>
        </is>
      </c>
      <c r="K32" s="6" t="inlineStr"/>
      <c r="L32" s="6" t="inlineStr">
        <is>
          <t>Not Executed</t>
        </is>
      </c>
      <c r="M32" s="6" t="inlineStr"/>
    </row>
    <row r="33">
      <c r="A33" s="6" t="inlineStr">
        <is>
          <t>Payroll</t>
        </is>
      </c>
      <c r="B33" s="6" t="inlineStr">
        <is>
          <t>Bảng chia thưởng</t>
        </is>
      </c>
      <c r="C33" s="6" t="inlineStr">
        <is>
          <t>BD_003.003</t>
        </is>
      </c>
      <c r="D33" s="6" t="inlineStr">
        <is>
          <t>Tính bảng thưởng — loading</t>
        </is>
      </c>
      <c r="E33" s="6" t="inlineStr">
        <is>
          <t>P0</t>
        </is>
      </c>
      <c r="F33" s="6" t="inlineStr">
        <is>
          <t>Tổng % = 100%, có quỹ</t>
        </is>
      </c>
      <c r="G33" s="6" t="inlineStr">
        <is>
          <t>1. Nhấn "Tính bảng thưởng"</t>
        </is>
      </c>
      <c r="H33" s="6" t="inlineStr"/>
      <c r="I33" s="6" t="inlineStr"/>
      <c r="J33" s="6" t="inlineStr">
        <is>
          <t>Hiển thị spinner "Đang tính toán bảng thưởng...". Sau khi xong: hiện bảng phân bổ + toast thành công</t>
        </is>
      </c>
      <c r="K33" s="6" t="inlineStr"/>
      <c r="L33" s="6" t="inlineStr">
        <is>
          <t>Not Executed</t>
        </is>
      </c>
      <c r="M33" s="6" t="inlineStr"/>
    </row>
    <row r="34">
      <c r="A34" s="6" t="inlineStr">
        <is>
          <t>Payroll</t>
        </is>
      </c>
      <c r="B34" s="6" t="inlineStr">
        <is>
          <t>Bảng chia thưởng</t>
        </is>
      </c>
      <c r="C34" s="6" t="inlineStr">
        <is>
          <t>BD_003.004</t>
        </is>
      </c>
      <c r="D34" s="6" t="inlineStr">
        <is>
          <t>TP công thức — hiển thị căn cứ + số tiền</t>
        </is>
      </c>
      <c r="E34" s="6" t="inlineStr">
        <is>
          <t>P0</t>
        </is>
      </c>
      <c r="F34" s="6" t="inlineStr">
        <is>
          <t>TP công thức: luong_p1 + luong_p2</t>
        </is>
      </c>
      <c r="G34" s="6" t="inlineStr">
        <is>
          <t>1. Tính bảng thưởng</t>
        </is>
      </c>
      <c r="H34" s="6" t="inlineStr"/>
      <c r="I34" s="6" t="inlineStr"/>
      <c r="J34" s="6" t="inlineStr">
        <is>
          <t>Cột "Căn cứ tính toán": hiển thị base_value (format dấu phẩy, không thập phân). Cột "Số tiền": hiển thị amount tính từ tỷ lệ base_value/totalBase * quỹ TP</t>
        </is>
      </c>
      <c r="K34" s="6" t="inlineStr"/>
      <c r="L34" s="6" t="inlineStr">
        <is>
          <t>Not Executed</t>
        </is>
      </c>
      <c r="M34" s="6" t="inlineStr"/>
    </row>
    <row r="35">
      <c r="A35" s="6" t="inlineStr">
        <is>
          <t>Payroll</t>
        </is>
      </c>
      <c r="B35" s="6" t="inlineStr">
        <is>
          <t>Bảng chia thưởng</t>
        </is>
      </c>
      <c r="C35" s="6" t="inlineStr">
        <is>
          <t>BD_003.005</t>
        </is>
      </c>
      <c r="D35" s="6" t="inlineStr">
        <is>
          <t>TP thủ công — hiển thị input % chia + số tiền</t>
        </is>
      </c>
      <c r="E35" s="6" t="inlineStr">
        <is>
          <t>P0</t>
        </is>
      </c>
      <c r="F35" s="6" t="inlineStr">
        <is>
          <t>TP mode manual</t>
        </is>
      </c>
      <c r="G35" s="6" t="inlineStr">
        <is>
          <t>1. Tính bảng thưởng</t>
        </is>
      </c>
      <c r="H35" s="6" t="inlineStr"/>
      <c r="I35" s="6" t="inlineStr"/>
      <c r="J35" s="6" t="inlineStr">
        <is>
          <t>Cột "% chia": input nhập tay. Cột "Số tiền": input nhập tay. Mặc định 0</t>
        </is>
      </c>
      <c r="K35" s="6" t="inlineStr"/>
      <c r="L35" s="6" t="inlineStr">
        <is>
          <t>Not Executed</t>
        </is>
      </c>
      <c r="M35" s="6" t="inlineStr"/>
    </row>
    <row r="36">
      <c r="A36" s="6" t="inlineStr">
        <is>
          <t>Payroll</t>
        </is>
      </c>
      <c r="B36" s="6" t="inlineStr">
        <is>
          <t>Bảng chia thưởng</t>
        </is>
      </c>
      <c r="C36" s="6" t="inlineStr">
        <is>
          <t>BD_003.006</t>
        </is>
      </c>
      <c r="D36" s="6" t="inlineStr">
        <is>
          <t>Dòng tổng quỹ phòng (sticky)</t>
        </is>
      </c>
      <c r="E36" s="6" t="inlineStr">
        <is>
          <t>P0</t>
        </is>
      </c>
      <c r="F36" s="6" t="inlineStr">
        <is>
          <t>Đã tính xong</t>
        </is>
      </c>
      <c r="G36" s="6" t="inlineStr">
        <is>
          <t>1. Scroll dọc bảng phân bổ</t>
        </is>
      </c>
      <c r="H36" s="6" t="inlineStr"/>
      <c r="I36" s="6" t="inlineStr"/>
      <c r="J36" s="6" t="inlineStr">
        <is>
          <t>Dòng TỔNG QUỸ PHÒNG cố định ở trên. Hiện: % phân bổ, quỹ TP, "Đã chia: xxx" (xanh nếu khớp, đỏ nếu chênh)</t>
        </is>
      </c>
      <c r="K36" s="6" t="inlineStr"/>
      <c r="L36" s="6" t="inlineStr">
        <is>
          <t>Not Executed</t>
        </is>
      </c>
      <c r="M36" s="6" t="inlineStr"/>
    </row>
    <row r="37">
      <c r="A37" s="6" t="inlineStr">
        <is>
          <t>Payroll</t>
        </is>
      </c>
      <c r="B37" s="6" t="inlineStr">
        <is>
          <t>Bảng chia thưởng</t>
        </is>
      </c>
      <c r="C37" s="6" t="inlineStr">
        <is>
          <t>BD_003.007</t>
        </is>
      </c>
      <c r="D37" s="6" t="inlineStr">
        <is>
          <t>Tổng thưởng mỗi NV</t>
        </is>
      </c>
      <c r="E37" s="6" t="inlineStr">
        <is>
          <t>P0</t>
        </is>
      </c>
      <c r="F37" s="6" t="inlineStr">
        <is>
          <t>Có nhiều TP</t>
        </is>
      </c>
      <c r="G37" s="6" t="inlineStr">
        <is>
          <t>1. Kiểm tra cột Tổng thưởng</t>
        </is>
      </c>
      <c r="H37" s="6" t="inlineStr"/>
      <c r="I37" s="6" t="inlineStr"/>
      <c r="J37" s="6" t="inlineStr">
        <is>
          <t>Tổng = sum amount các TP. Hiển thị (x% quỹ) bên dưới</t>
        </is>
      </c>
      <c r="K37" s="6" t="inlineStr"/>
      <c r="L37" s="6" t="inlineStr">
        <is>
          <t>Not Executed</t>
        </is>
      </c>
      <c r="M37" s="6" t="inlineStr"/>
    </row>
    <row r="38">
      <c r="A38" s="6" t="inlineStr">
        <is>
          <t>Payroll</t>
        </is>
      </c>
      <c r="B38" s="6" t="inlineStr">
        <is>
          <t>Bảng chia thưởng</t>
        </is>
      </c>
      <c r="C38" s="6" t="inlineStr">
        <is>
          <t>BD_003.008</t>
        </is>
      </c>
      <c r="D38" s="6" t="inlineStr">
        <is>
          <t>Preview không lưu DB</t>
        </is>
      </c>
      <c r="E38" s="6" t="inlineStr">
        <is>
          <t>P0</t>
        </is>
      </c>
      <c r="F38" s="6" t="inlineStr"/>
      <c r="G38" s="6" t="inlineStr">
        <is>
          <t>1. Tính bảng thưởng
2. Nhấn HỦY (không lưu)
3. Quay lại trang danh sách</t>
        </is>
      </c>
      <c r="H38" s="6" t="inlineStr"/>
      <c r="I38" s="6" t="inlineStr"/>
      <c r="J38" s="6" t="inlineStr">
        <is>
          <t>Bảng chia thưởng KHÔNG được tạo trong DB (vì chưa lưu)</t>
        </is>
      </c>
      <c r="K38" s="6" t="inlineStr"/>
      <c r="L38" s="6" t="inlineStr">
        <is>
          <t>Not Executed</t>
        </is>
      </c>
      <c r="M38" s="6" t="inlineStr"/>
    </row>
    <row r="39">
      <c r="A39" s="4" t="n"/>
      <c r="B39" s="4" t="n"/>
      <c r="C39" s="5" t="inlineStr">
        <is>
          <t>IV. ĐIỀU CHỈNH THỦ CÔNG</t>
        </is>
      </c>
      <c r="D39" s="4" t="n"/>
      <c r="E39" s="4" t="n"/>
      <c r="F39" s="4" t="n"/>
      <c r="G39" s="4" t="n"/>
      <c r="H39" s="4" t="n"/>
      <c r="I39" s="4" t="n"/>
      <c r="J39" s="4" t="n"/>
      <c r="K39" s="4" t="n"/>
      <c r="L39" s="4" t="n"/>
      <c r="M39" s="4" t="n"/>
    </row>
    <row r="40">
      <c r="A40" s="6" t="inlineStr">
        <is>
          <t>Payroll</t>
        </is>
      </c>
      <c r="B40" s="6" t="inlineStr">
        <is>
          <t>Bảng chia thưởng</t>
        </is>
      </c>
      <c r="C40" s="6" t="inlineStr">
        <is>
          <t>BD_004.001</t>
        </is>
      </c>
      <c r="D40" s="6" t="inlineStr">
        <is>
          <t>Nhập % chia → auto tính số tiền</t>
        </is>
      </c>
      <c r="E40" s="6" t="inlineStr">
        <is>
          <t>P0</t>
        </is>
      </c>
      <c r="F40" s="6" t="inlineStr">
        <is>
          <t>TP thủ công, đã tính bảng</t>
        </is>
      </c>
      <c r="G40" s="6" t="inlineStr">
        <is>
          <t>1. Nhập % chia = 10 cho NV A</t>
        </is>
      </c>
      <c r="H40" s="6" t="inlineStr">
        <is>
          <t>% chia: 10</t>
        </is>
      </c>
      <c r="I40" s="6" t="inlineStr"/>
      <c r="J40" s="6" t="inlineStr">
        <is>
          <t>Số tiền NV A = quỹ TP * 10%. Cập nhật realtime</t>
        </is>
      </c>
      <c r="K40" s="6" t="inlineStr"/>
      <c r="L40" s="6" t="inlineStr">
        <is>
          <t>Not Executed</t>
        </is>
      </c>
      <c r="M40" s="6" t="inlineStr"/>
    </row>
    <row r="41">
      <c r="A41" s="6" t="inlineStr">
        <is>
          <t>Payroll</t>
        </is>
      </c>
      <c r="B41" s="6" t="inlineStr">
        <is>
          <t>Bảng chia thưởng</t>
        </is>
      </c>
      <c r="C41" s="6" t="inlineStr">
        <is>
          <t>BD_004.002</t>
        </is>
      </c>
      <c r="D41" s="6" t="inlineStr">
        <is>
          <t>Nhập số tiền → auto tính % chia</t>
        </is>
      </c>
      <c r="E41" s="6" t="inlineStr">
        <is>
          <t>P0</t>
        </is>
      </c>
      <c r="F41" s="6" t="inlineStr">
        <is>
          <t>TP thủ công</t>
        </is>
      </c>
      <c r="G41" s="6" t="inlineStr">
        <is>
          <t>1. Nhập số tiền = 5000000 cho NV A</t>
        </is>
      </c>
      <c r="H41" s="6" t="inlineStr">
        <is>
          <t>Amount: 5,000,000</t>
        </is>
      </c>
      <c r="I41" s="6" t="inlineStr"/>
      <c r="J41" s="6" t="inlineStr">
        <is>
          <t>% chia = 5000000 / quỹ TP * 100. Cập nhật realtime</t>
        </is>
      </c>
      <c r="K41" s="6" t="inlineStr"/>
      <c r="L41" s="6" t="inlineStr">
        <is>
          <t>Not Executed</t>
        </is>
      </c>
      <c r="M41" s="6" t="inlineStr"/>
    </row>
    <row r="42">
      <c r="A42" s="6" t="inlineStr">
        <is>
          <t>Payroll</t>
        </is>
      </c>
      <c r="B42" s="6" t="inlineStr">
        <is>
          <t>Bảng chia thưởng</t>
        </is>
      </c>
      <c r="C42" s="6" t="inlineStr">
        <is>
          <t>BD_004.003</t>
        </is>
      </c>
      <c r="D42" s="6" t="inlineStr">
        <is>
          <t>Chia đều thành phần thủ công</t>
        </is>
      </c>
      <c r="E42" s="6" t="inlineStr">
        <is>
          <t>P0</t>
        </is>
      </c>
      <c r="F42" s="6" t="inlineStr">
        <is>
          <t>Có TP thủ công, 10 NV</t>
        </is>
      </c>
      <c r="G42" s="6" t="inlineStr">
        <is>
          <t>1. Nhấn "Chia đều thành phần thủ công"</t>
        </is>
      </c>
      <c r="H42" s="6" t="inlineStr"/>
      <c r="I42" s="6" t="inlineStr"/>
      <c r="J42" s="6" t="inlineStr">
        <is>
          <t>Mỗi NV được chia đều: % = 100/10 = 10%, amount = quỹ TP / 10</t>
        </is>
      </c>
      <c r="K42" s="6" t="inlineStr"/>
      <c r="L42" s="6" t="inlineStr">
        <is>
          <t>Not Executed</t>
        </is>
      </c>
      <c r="M42" s="6" t="inlineStr"/>
    </row>
    <row r="43">
      <c r="A43" s="6" t="inlineStr">
        <is>
          <t>Payroll</t>
        </is>
      </c>
      <c r="B43" s="6" t="inlineStr">
        <is>
          <t>Bảng chia thưởng</t>
        </is>
      </c>
      <c r="C43" s="6" t="inlineStr">
        <is>
          <t>BD_004.004</t>
        </is>
      </c>
      <c r="D43" s="6" t="inlineStr">
        <is>
          <t>TP công thức có allow_adjustment</t>
        </is>
      </c>
      <c r="E43" s="6" t="inlineStr">
        <is>
          <t>P1</t>
        </is>
      </c>
      <c r="F43" s="6" t="inlineStr">
        <is>
          <t>TP công thức, checkbox điều chỉnh = true</t>
        </is>
      </c>
      <c r="G43" s="6" t="inlineStr">
        <is>
          <t>1. Tính bảng
2. Sửa số tiền NV A</t>
        </is>
      </c>
      <c r="H43" s="6" t="inlineStr"/>
      <c r="I43" s="6" t="inlineStr"/>
      <c r="J43" s="6" t="inlineStr">
        <is>
          <t>Input số tiền enabled, có thể sửa tay</t>
        </is>
      </c>
      <c r="K43" s="6" t="inlineStr"/>
      <c r="L43" s="6" t="inlineStr">
        <is>
          <t>Not Executed</t>
        </is>
      </c>
      <c r="M43" s="6" t="inlineStr"/>
    </row>
    <row r="44">
      <c r="A44" s="4" t="n"/>
      <c r="B44" s="4" t="n"/>
      <c r="C44" s="5" t="inlineStr">
        <is>
          <t>V. SỬA BẢNG CHIA THƯỞNG</t>
        </is>
      </c>
      <c r="D44" s="4" t="n"/>
      <c r="E44" s="4" t="n"/>
      <c r="F44" s="4" t="n"/>
      <c r="G44" s="4" t="n"/>
      <c r="H44" s="4" t="n"/>
      <c r="I44" s="4" t="n"/>
      <c r="J44" s="4" t="n"/>
      <c r="K44" s="4" t="n"/>
      <c r="L44" s="4" t="n"/>
      <c r="M44" s="4" t="n"/>
    </row>
    <row r="45">
      <c r="A45" s="6" t="inlineStr">
        <is>
          <t>Payroll</t>
        </is>
      </c>
      <c r="B45" s="6" t="inlineStr">
        <is>
          <t>Bảng chia thưởng</t>
        </is>
      </c>
      <c r="C45" s="6" t="inlineStr">
        <is>
          <t>BD_005.001</t>
        </is>
      </c>
      <c r="D45" s="6" t="inlineStr">
        <is>
          <t>Mở form sửa — load data đúng</t>
        </is>
      </c>
      <c r="E45" s="6" t="inlineStr">
        <is>
          <t>P0</t>
        </is>
      </c>
      <c r="F45" s="6" t="inlineStr">
        <is>
          <t>Bảng trạng thái Nháp</t>
        </is>
      </c>
      <c r="G45" s="6" t="inlineStr">
        <is>
          <t>1. Nhấn icon sửa</t>
        </is>
      </c>
      <c r="H45" s="6" t="inlineStr"/>
      <c r="I45" s="6" t="inlineStr"/>
      <c r="J45" s="6" t="inlineStr">
        <is>
          <t>Load đúng: PB (disabled), Năm (disabled), Quỹ, Ghi chú, Thành phần, Bảng phân bổ (nếu đã tính)</t>
        </is>
      </c>
      <c r="K45" s="6" t="inlineStr"/>
      <c r="L45" s="6" t="inlineStr">
        <is>
          <t>Not Executed</t>
        </is>
      </c>
      <c r="M45" s="6" t="inlineStr"/>
    </row>
    <row r="46">
      <c r="A46" s="6" t="inlineStr">
        <is>
          <t>Payroll</t>
        </is>
      </c>
      <c r="B46" s="6" t="inlineStr">
        <is>
          <t>Bảng chia thưởng</t>
        </is>
      </c>
      <c r="C46" s="6" t="inlineStr">
        <is>
          <t>BD_005.002</t>
        </is>
      </c>
      <c r="D46" s="6" t="inlineStr">
        <is>
          <t>Sửa thành phần + tính lại</t>
        </is>
      </c>
      <c r="E46" s="6" t="inlineStr">
        <is>
          <t>P0</t>
        </is>
      </c>
      <c r="F46" s="6" t="inlineStr">
        <is>
          <t>Đang sửa</t>
        </is>
      </c>
      <c r="G46" s="6" t="inlineStr">
        <is>
          <t>1. Thêm/bớt TP
2. Sửa %
3. Nhấn "Tính bảng thưởng"
4. Lưu</t>
        </is>
      </c>
      <c r="H46" s="6" t="inlineStr"/>
      <c r="I46" s="6" t="inlineStr"/>
      <c r="J46" s="6" t="inlineStr">
        <is>
          <t>Tính lại đúng với thành phần mới. Lưu thành công</t>
        </is>
      </c>
      <c r="K46" s="6" t="inlineStr"/>
      <c r="L46" s="6" t="inlineStr">
        <is>
          <t>Not Executed</t>
        </is>
      </c>
      <c r="M46" s="6" t="inlineStr"/>
    </row>
    <row r="47">
      <c r="A47" s="6" t="inlineStr">
        <is>
          <t>Payroll</t>
        </is>
      </c>
      <c r="B47" s="6" t="inlineStr">
        <is>
          <t>Bảng chia thưởng</t>
        </is>
      </c>
      <c r="C47" s="6" t="inlineStr">
        <is>
          <t>BD_005.003</t>
        </is>
      </c>
      <c r="D47" s="6" t="inlineStr">
        <is>
          <t>Không cho sửa khi trạng thái Chờ duyệt</t>
        </is>
      </c>
      <c r="E47" s="6" t="inlineStr">
        <is>
          <t>P0</t>
        </is>
      </c>
      <c r="F47" s="6" t="inlineStr">
        <is>
          <t>Bảng Chờ duyệt</t>
        </is>
      </c>
      <c r="G47" s="6" t="inlineStr">
        <is>
          <t>1. Mở chi tiết</t>
        </is>
      </c>
      <c r="H47" s="6" t="inlineStr"/>
      <c r="I47" s="6" t="inlineStr"/>
      <c r="J47" s="6" t="inlineStr">
        <is>
          <t>Tất cả input disabled. Không có nút LƯU. Chỉ có nút HỦY</t>
        </is>
      </c>
      <c r="K47" s="6" t="inlineStr"/>
      <c r="L47" s="6" t="inlineStr">
        <is>
          <t>Not Executed</t>
        </is>
      </c>
      <c r="M47" s="6" t="inlineStr"/>
    </row>
    <row r="48">
      <c r="A48" s="6" t="inlineStr">
        <is>
          <t>Payroll</t>
        </is>
      </c>
      <c r="B48" s="6" t="inlineStr">
        <is>
          <t>Bảng chia thưởng</t>
        </is>
      </c>
      <c r="C48" s="6" t="inlineStr">
        <is>
          <t>BD_005.004</t>
        </is>
      </c>
      <c r="D48" s="6" t="inlineStr">
        <is>
          <t>Không cho sửa khi trạng thái Đã duyệt</t>
        </is>
      </c>
      <c r="E48" s="6" t="inlineStr">
        <is>
          <t>P0</t>
        </is>
      </c>
      <c r="F48" s="6" t="inlineStr">
        <is>
          <t>Bảng Đã duyệt</t>
        </is>
      </c>
      <c r="G48" s="6" t="inlineStr">
        <is>
          <t>1. Mở chi tiết</t>
        </is>
      </c>
      <c r="H48" s="6" t="inlineStr"/>
      <c r="I48" s="6" t="inlineStr"/>
      <c r="J48" s="6" t="inlineStr">
        <is>
          <t>Tất cả input disabled. Không có nút LƯU</t>
        </is>
      </c>
      <c r="K48" s="6" t="inlineStr"/>
      <c r="L48" s="6" t="inlineStr">
        <is>
          <t>Not Executed</t>
        </is>
      </c>
      <c r="M48" s="6" t="inlineStr"/>
    </row>
    <row r="49">
      <c r="A49" s="6" t="inlineStr">
        <is>
          <t>Payroll</t>
        </is>
      </c>
      <c r="B49" s="6" t="inlineStr">
        <is>
          <t>Bảng chia thưởng</t>
        </is>
      </c>
      <c r="C49" s="6" t="inlineStr">
        <is>
          <t>BD_005.005</t>
        </is>
      </c>
      <c r="D49" s="6" t="inlineStr">
        <is>
          <t>Cho sửa khi trạng thái Không duyệt</t>
        </is>
      </c>
      <c r="E49" s="6" t="inlineStr">
        <is>
          <t>P0</t>
        </is>
      </c>
      <c r="F49" s="6" t="inlineStr">
        <is>
          <t>Bảng Không duyệt</t>
        </is>
      </c>
      <c r="G49" s="6" t="inlineStr">
        <is>
          <t>1. Mở chi tiết</t>
        </is>
      </c>
      <c r="H49" s="6" t="inlineStr"/>
      <c r="I49" s="6" t="inlineStr"/>
      <c r="J49" s="6" t="inlineStr">
        <is>
          <t>Form editable. Có nút LƯU NHÁP, LƯU &amp; GỬI DUYỆT</t>
        </is>
      </c>
      <c r="K49" s="6" t="inlineStr"/>
      <c r="L49" s="6" t="inlineStr">
        <is>
          <t>Not Executed</t>
        </is>
      </c>
      <c r="M49" s="6" t="inlineStr"/>
    </row>
    <row r="50">
      <c r="A50" s="4" t="n"/>
      <c r="B50" s="4" t="n"/>
      <c r="C50" s="5" t="inlineStr">
        <is>
          <t>VI. XOÁ BẢNG CHIA THƯỞNG</t>
        </is>
      </c>
      <c r="D50" s="4" t="n"/>
      <c r="E50" s="4" t="n"/>
      <c r="F50" s="4" t="n"/>
      <c r="G50" s="4" t="n"/>
      <c r="H50" s="4" t="n"/>
      <c r="I50" s="4" t="n"/>
      <c r="J50" s="4" t="n"/>
      <c r="K50" s="4" t="n"/>
      <c r="L50" s="4" t="n"/>
      <c r="M50" s="4" t="n"/>
    </row>
    <row r="51">
      <c r="A51" s="6" t="inlineStr">
        <is>
          <t>Payroll</t>
        </is>
      </c>
      <c r="B51" s="6" t="inlineStr">
        <is>
          <t>Bảng chia thưởng</t>
        </is>
      </c>
      <c r="C51" s="6" t="inlineStr">
        <is>
          <t>BD_006.001</t>
        </is>
      </c>
      <c r="D51" s="6" t="inlineStr">
        <is>
          <t>Xoá bảng Nháp — thành công</t>
        </is>
      </c>
      <c r="E51" s="6" t="inlineStr">
        <is>
          <t>P0</t>
        </is>
      </c>
      <c r="F51" s="6" t="inlineStr">
        <is>
          <t>Bảng Nháp</t>
        </is>
      </c>
      <c r="G51" s="6" t="inlineStr">
        <is>
          <t>1. Nhấn icon xoá
2. Xác nhận</t>
        </is>
      </c>
      <c r="H51" s="6" t="inlineStr"/>
      <c r="I51" s="6" t="inlineStr"/>
      <c r="J51" s="6" t="inlineStr">
        <is>
          <t>Toast "Xóa thành công". Bảng biến mất khỏi danh sách</t>
        </is>
      </c>
      <c r="K51" s="6" t="inlineStr"/>
      <c r="L51" s="6" t="inlineStr">
        <is>
          <t>Not Executed</t>
        </is>
      </c>
      <c r="M51" s="6" t="inlineStr"/>
    </row>
    <row r="52">
      <c r="A52" s="6" t="inlineStr">
        <is>
          <t>Payroll</t>
        </is>
      </c>
      <c r="B52" s="6" t="inlineStr">
        <is>
          <t>Bảng chia thưởng</t>
        </is>
      </c>
      <c r="C52" s="6" t="inlineStr">
        <is>
          <t>BD_006.002</t>
        </is>
      </c>
      <c r="D52" s="6" t="inlineStr">
        <is>
          <t>Xoá bảng Không duyệt — thành công</t>
        </is>
      </c>
      <c r="E52" s="6" t="inlineStr">
        <is>
          <t>P0</t>
        </is>
      </c>
      <c r="F52" s="6" t="inlineStr">
        <is>
          <t>Bảng Không duyệt</t>
        </is>
      </c>
      <c r="G52" s="6" t="inlineStr">
        <is>
          <t>1. Nhấn xoá
2. Xác nhận</t>
        </is>
      </c>
      <c r="H52" s="6" t="inlineStr"/>
      <c r="I52" s="6" t="inlineStr"/>
      <c r="J52" s="6" t="inlineStr">
        <is>
          <t>Xoá thành công</t>
        </is>
      </c>
      <c r="K52" s="6" t="inlineStr"/>
      <c r="L52" s="6" t="inlineStr">
        <is>
          <t>Not Executed</t>
        </is>
      </c>
      <c r="M52" s="6" t="inlineStr"/>
    </row>
    <row r="53">
      <c r="A53" s="6" t="inlineStr">
        <is>
          <t>Payroll</t>
        </is>
      </c>
      <c r="B53" s="6" t="inlineStr">
        <is>
          <t>Bảng chia thưởng</t>
        </is>
      </c>
      <c r="C53" s="6" t="inlineStr">
        <is>
          <t>BD_006.003</t>
        </is>
      </c>
      <c r="D53" s="6" t="inlineStr">
        <is>
          <t>Không xoá được bảng Chờ duyệt</t>
        </is>
      </c>
      <c r="E53" s="6" t="inlineStr">
        <is>
          <t>P0</t>
        </is>
      </c>
      <c r="F53" s="6" t="inlineStr">
        <is>
          <t>Bảng Chờ duyệt</t>
        </is>
      </c>
      <c r="G53" s="6" t="inlineStr">
        <is>
          <t>1. Kiểm tra cột Thao tác</t>
        </is>
      </c>
      <c r="H53" s="6" t="inlineStr"/>
      <c r="I53" s="6" t="inlineStr"/>
      <c r="J53" s="6" t="inlineStr">
        <is>
          <t>Không hiển thị nút xoá</t>
        </is>
      </c>
      <c r="K53" s="6" t="inlineStr"/>
      <c r="L53" s="6" t="inlineStr">
        <is>
          <t>Not Executed</t>
        </is>
      </c>
      <c r="M53" s="6" t="inlineStr"/>
    </row>
    <row r="54">
      <c r="A54" s="6" t="inlineStr">
        <is>
          <t>Payroll</t>
        </is>
      </c>
      <c r="B54" s="6" t="inlineStr">
        <is>
          <t>Bảng chia thưởng</t>
        </is>
      </c>
      <c r="C54" s="6" t="inlineStr">
        <is>
          <t>BD_006.004</t>
        </is>
      </c>
      <c r="D54" s="6" t="inlineStr">
        <is>
          <t>Huỷ xoá</t>
        </is>
      </c>
      <c r="E54" s="6" t="inlineStr">
        <is>
          <t>P1</t>
        </is>
      </c>
      <c r="F54" s="6" t="inlineStr"/>
      <c r="G54" s="6" t="inlineStr">
        <is>
          <t>1. Nhấn xoá
2. Nhấn "Huỷ"</t>
        </is>
      </c>
      <c r="H54" s="6" t="inlineStr"/>
      <c r="I54" s="6" t="inlineStr"/>
      <c r="J54" s="6" t="inlineStr">
        <is>
          <t>Modal đóng, bảng vẫn còn</t>
        </is>
      </c>
      <c r="K54" s="6" t="inlineStr"/>
      <c r="L54" s="6" t="inlineStr">
        <is>
          <t>Not Executed</t>
        </is>
      </c>
      <c r="M54" s="6" t="inlineStr"/>
    </row>
    <row r="55">
      <c r="A55" s="4" t="n"/>
      <c r="B55" s="4" t="n"/>
      <c r="C55" s="5" t="inlineStr">
        <is>
          <t>VII. DUYỆT / TỪ CHỐI BẢNG CHIA THƯỞNG</t>
        </is>
      </c>
      <c r="D55" s="4" t="n"/>
      <c r="E55" s="4" t="n"/>
      <c r="F55" s="4" t="n"/>
      <c r="G55" s="4" t="n"/>
      <c r="H55" s="4" t="n"/>
      <c r="I55" s="4" t="n"/>
      <c r="J55" s="4" t="n"/>
      <c r="K55" s="4" t="n"/>
      <c r="L55" s="4" t="n"/>
      <c r="M55" s="4" t="n"/>
    </row>
    <row r="56">
      <c r="A56" s="6" t="inlineStr">
        <is>
          <t>Payroll</t>
        </is>
      </c>
      <c r="B56" s="6" t="inlineStr">
        <is>
          <t>Bảng chia thưởng</t>
        </is>
      </c>
      <c r="C56" s="6" t="inlineStr">
        <is>
          <t>BD_007.001</t>
        </is>
      </c>
      <c r="D56" s="6" t="inlineStr">
        <is>
          <t>Hiện nút DUYỆT khi có quyền + trạng thái Chờ duyệt</t>
        </is>
      </c>
      <c r="E56" s="6" t="inlineStr">
        <is>
          <t>P0</t>
        </is>
      </c>
      <c r="F56" s="6" t="inlineStr">
        <is>
          <t>User có quyền "BGĐ duyệt" (id 1054), bảng Chờ duyệt</t>
        </is>
      </c>
      <c r="G56" s="6" t="inlineStr">
        <is>
          <t>1. Mở chi tiết bảng</t>
        </is>
      </c>
      <c r="H56" s="6" t="inlineStr"/>
      <c r="I56" s="6" t="inlineStr"/>
      <c r="J56" s="6" t="inlineStr">
        <is>
          <t>Hiện nút "DUYỆT" và "KHÔNG DUYỆT"</t>
        </is>
      </c>
      <c r="K56" s="6" t="inlineStr"/>
      <c r="L56" s="6" t="inlineStr">
        <is>
          <t>Not Executed</t>
        </is>
      </c>
      <c r="M56" s="6" t="inlineStr"/>
    </row>
    <row r="57">
      <c r="A57" s="6" t="inlineStr">
        <is>
          <t>Payroll</t>
        </is>
      </c>
      <c r="B57" s="6" t="inlineStr">
        <is>
          <t>Bảng chia thưởng</t>
        </is>
      </c>
      <c r="C57" s="6" t="inlineStr">
        <is>
          <t>BD_007.002</t>
        </is>
      </c>
      <c r="D57" s="6" t="inlineStr">
        <is>
          <t>Không hiện nút DUYỆT khi không có quyền</t>
        </is>
      </c>
      <c r="E57" s="6" t="inlineStr">
        <is>
          <t>P0</t>
        </is>
      </c>
      <c r="F57" s="6" t="inlineStr">
        <is>
          <t>User KHÔNG có quyền 1054, bảng Chờ duyệt</t>
        </is>
      </c>
      <c r="G57" s="6" t="inlineStr">
        <is>
          <t>1. Mở chi tiết bảng</t>
        </is>
      </c>
      <c r="H57" s="6" t="inlineStr"/>
      <c r="I57" s="6" t="inlineStr"/>
      <c r="J57" s="6" t="inlineStr">
        <is>
          <t>KHÔNG hiện nút DUYỆT / KHÔNG DUYỆT. can_approve = false từ API</t>
        </is>
      </c>
      <c r="K57" s="6" t="inlineStr"/>
      <c r="L57" s="6" t="inlineStr">
        <is>
          <t>Not Executed</t>
        </is>
      </c>
      <c r="M57" s="6" t="inlineStr"/>
    </row>
    <row r="58">
      <c r="A58" s="6" t="inlineStr">
        <is>
          <t>Payroll</t>
        </is>
      </c>
      <c r="B58" s="6" t="inlineStr">
        <is>
          <t>Bảng chia thưởng</t>
        </is>
      </c>
      <c r="C58" s="6" t="inlineStr">
        <is>
          <t>BD_007.003</t>
        </is>
      </c>
      <c r="D58" s="6" t="inlineStr">
        <is>
          <t>Duyệt thành công</t>
        </is>
      </c>
      <c r="E58" s="6" t="inlineStr">
        <is>
          <t>P0</t>
        </is>
      </c>
      <c r="F58" s="6" t="inlineStr">
        <is>
          <t>Có quyền, bảng Chờ duyệt</t>
        </is>
      </c>
      <c r="G58" s="6" t="inlineStr">
        <is>
          <t>1. Nhấn "DUYỆT"</t>
        </is>
      </c>
      <c r="H58" s="6" t="inlineStr"/>
      <c r="I58" s="6" t="inlineStr"/>
      <c r="J58" s="6" t="inlineStr">
        <is>
          <t>Toast "Duyệt thành công". Trạng thái → Đã duyệt. Ghi nhận người duyệt + ngày duyệt. Form chuyển readonly</t>
        </is>
      </c>
      <c r="K58" s="6" t="inlineStr"/>
      <c r="L58" s="6" t="inlineStr">
        <is>
          <t>Not Executed</t>
        </is>
      </c>
      <c r="M58" s="6" t="inlineStr"/>
    </row>
    <row r="59">
      <c r="A59" s="6" t="inlineStr">
        <is>
          <t>Payroll</t>
        </is>
      </c>
      <c r="B59" s="6" t="inlineStr">
        <is>
          <t>Bảng chia thưởng</t>
        </is>
      </c>
      <c r="C59" s="6" t="inlineStr">
        <is>
          <t>BD_007.004</t>
        </is>
      </c>
      <c r="D59" s="6" t="inlineStr">
        <is>
          <t>Từ chối duyệt thành công</t>
        </is>
      </c>
      <c r="E59" s="6" t="inlineStr">
        <is>
          <t>P0</t>
        </is>
      </c>
      <c r="F59" s="6" t="inlineStr">
        <is>
          <t>Có quyền, bảng Chờ duyệt</t>
        </is>
      </c>
      <c r="G59" s="6" t="inlineStr">
        <is>
          <t>1. Nhấn "KHÔNG DUYỆT"</t>
        </is>
      </c>
      <c r="H59" s="6" t="inlineStr"/>
      <c r="I59" s="6" t="inlineStr"/>
      <c r="J59" s="6" t="inlineStr">
        <is>
          <t>Toast "Đã từ chối duyệt". Trạng thái → Không duyệt. Người tạo có thể sửa lại</t>
        </is>
      </c>
      <c r="K59" s="6" t="inlineStr"/>
      <c r="L59" s="6" t="inlineStr">
        <is>
          <t>Not Executed</t>
        </is>
      </c>
      <c r="M59" s="6" t="inlineStr"/>
    </row>
    <row r="60">
      <c r="A60" s="6" t="inlineStr">
        <is>
          <t>Payroll</t>
        </is>
      </c>
      <c r="B60" s="6" t="inlineStr">
        <is>
          <t>Bảng chia thưởng</t>
        </is>
      </c>
      <c r="C60" s="6" t="inlineStr">
        <is>
          <t>BD_007.005</t>
        </is>
      </c>
      <c r="D60" s="6" t="inlineStr">
        <is>
          <t>API trả 403 khi không có quyền gọi approve</t>
        </is>
      </c>
      <c r="E60" s="6" t="inlineStr">
        <is>
          <t>P0</t>
        </is>
      </c>
      <c r="F60" s="6" t="inlineStr">
        <is>
          <t>Gọi API trực tiếp không có quyền</t>
        </is>
      </c>
      <c r="G60" s="6" t="inlineStr">
        <is>
          <t>1. POST /approve không có quyền</t>
        </is>
      </c>
      <c r="H60" s="6" t="inlineStr"/>
      <c r="I60" s="6" t="inlineStr"/>
      <c r="J60" s="6" t="inlineStr">
        <is>
          <t>HTTP 403: "Bạn không có quyền duyệt"</t>
        </is>
      </c>
      <c r="K60" s="6" t="inlineStr"/>
      <c r="L60" s="6" t="inlineStr">
        <is>
          <t>Not Executed</t>
        </is>
      </c>
      <c r="M60" s="6" t="inlineStr"/>
    </row>
    <row r="61">
      <c r="A61" s="4" t="n"/>
      <c r="B61" s="4" t="n"/>
      <c r="C61" s="5" t="inlineStr">
        <is>
          <t>VIII. VALIDATION</t>
        </is>
      </c>
      <c r="D61" s="4" t="n"/>
      <c r="E61" s="4" t="n"/>
      <c r="F61" s="4" t="n"/>
      <c r="G61" s="4" t="n"/>
      <c r="H61" s="4" t="n"/>
      <c r="I61" s="4" t="n"/>
      <c r="J61" s="4" t="n"/>
      <c r="K61" s="4" t="n"/>
      <c r="L61" s="4" t="n"/>
      <c r="M61" s="4" t="n"/>
    </row>
    <row r="62">
      <c r="A62" s="6" t="inlineStr">
        <is>
          <t>Payroll</t>
        </is>
      </c>
      <c r="B62" s="6" t="inlineStr">
        <is>
          <t>Bảng chia thưởng</t>
        </is>
      </c>
      <c r="C62" s="6" t="inlineStr">
        <is>
          <t>BD_008.001</t>
        </is>
      </c>
      <c r="D62" s="6" t="inlineStr">
        <is>
          <t>Thiếu phòng ban khi tạo</t>
        </is>
      </c>
      <c r="E62" s="6" t="inlineStr">
        <is>
          <t>P0</t>
        </is>
      </c>
      <c r="F62" s="6" t="inlineStr"/>
      <c r="G62" s="6" t="inlineStr">
        <is>
          <t>1. Không chọn PB
2. Lưu</t>
        </is>
      </c>
      <c r="H62" s="6" t="inlineStr"/>
      <c r="I62" s="6" t="inlineStr"/>
      <c r="J62" s="6" t="inlineStr">
        <is>
          <t>Lỗi 422: "Bắt buộc chọn phòng ban"</t>
        </is>
      </c>
      <c r="K62" s="6" t="inlineStr"/>
      <c r="L62" s="6" t="inlineStr">
        <is>
          <t>Not Executed</t>
        </is>
      </c>
      <c r="M62" s="6" t="inlineStr"/>
    </row>
    <row r="63">
      <c r="A63" s="6" t="inlineStr">
        <is>
          <t>Payroll</t>
        </is>
      </c>
      <c r="B63" s="6" t="inlineStr">
        <is>
          <t>Bảng chia thưởng</t>
        </is>
      </c>
      <c r="C63" s="6" t="inlineStr">
        <is>
          <t>BD_008.002</t>
        </is>
      </c>
      <c r="D63" s="6" t="inlineStr">
        <is>
          <t>Thiếu năm khi tạo</t>
        </is>
      </c>
      <c r="E63" s="6" t="inlineStr">
        <is>
          <t>P0</t>
        </is>
      </c>
      <c r="F63" s="6" t="inlineStr"/>
      <c r="G63" s="6" t="inlineStr">
        <is>
          <t>1. Không chọn năm
2. Lưu</t>
        </is>
      </c>
      <c r="H63" s="6" t="inlineStr"/>
      <c r="I63" s="6" t="inlineStr"/>
      <c r="J63" s="6" t="inlineStr">
        <is>
          <t>Lỗi 422: "Bắt buộc chọn năm"</t>
        </is>
      </c>
      <c r="K63" s="6" t="inlineStr"/>
      <c r="L63" s="6" t="inlineStr">
        <is>
          <t>Not Executed</t>
        </is>
      </c>
      <c r="M63" s="6" t="inlineStr"/>
    </row>
    <row r="64">
      <c r="A64" s="6" t="inlineStr">
        <is>
          <t>Payroll</t>
        </is>
      </c>
      <c r="B64" s="6" t="inlineStr">
        <is>
          <t>Bảng chia thưởng</t>
        </is>
      </c>
      <c r="C64" s="6" t="inlineStr">
        <is>
          <t>BD_008.003</t>
        </is>
      </c>
      <c r="D64" s="6" t="inlineStr">
        <is>
          <t>Thiếu thành phần</t>
        </is>
      </c>
      <c r="E64" s="6" t="inlineStr">
        <is>
          <t>P0</t>
        </is>
      </c>
      <c r="F64" s="6" t="inlineStr"/>
      <c r="G64" s="6" t="inlineStr">
        <is>
          <t>1. Không thêm TP
2. Lưu</t>
        </is>
      </c>
      <c r="H64" s="6" t="inlineStr"/>
      <c r="I64" s="6" t="inlineStr"/>
      <c r="J64" s="6" t="inlineStr">
        <is>
          <t>Lỗi 422: "Bắt buộc chọn ít nhất 1 thành phần"</t>
        </is>
      </c>
      <c r="K64" s="6" t="inlineStr"/>
      <c r="L64" s="6" t="inlineStr">
        <is>
          <t>Not Executed</t>
        </is>
      </c>
      <c r="M64" s="6" t="inlineStr"/>
    </row>
    <row r="65">
      <c r="A65" s="6" t="inlineStr">
        <is>
          <t>Payroll</t>
        </is>
      </c>
      <c r="B65" s="6" t="inlineStr">
        <is>
          <t>Bảng chia thưởng</t>
        </is>
      </c>
      <c r="C65" s="6" t="inlineStr">
        <is>
          <t>BD_008.004</t>
        </is>
      </c>
      <c r="D65" s="6" t="inlineStr">
        <is>
          <t>Gửi duyệt khi tổng % ≠ 100</t>
        </is>
      </c>
      <c r="E65" s="6" t="inlineStr">
        <is>
          <t>P0</t>
        </is>
      </c>
      <c r="F65" s="6" t="inlineStr">
        <is>
          <t>Tổng % = 80%</t>
        </is>
      </c>
      <c r="G65" s="6" t="inlineStr">
        <is>
          <t>1. Nhấn "LƯU &amp; GỬI DUYỆT"</t>
        </is>
      </c>
      <c r="H65" s="6" t="inlineStr"/>
      <c r="I65" s="6" t="inlineStr"/>
      <c r="J65" s="6" t="inlineStr">
        <is>
          <t>Lỗi: "Tổng % thành phần phải bằng 100%"</t>
        </is>
      </c>
      <c r="K65" s="6" t="inlineStr"/>
      <c r="L65" s="6" t="inlineStr">
        <is>
          <t>Not Executed</t>
        </is>
      </c>
      <c r="M65" s="6" t="inlineStr"/>
    </row>
    <row r="66">
      <c r="A66" s="6" t="inlineStr">
        <is>
          <t>Payroll</t>
        </is>
      </c>
      <c r="B66" s="6" t="inlineStr">
        <is>
          <t>Bảng chia thưởng</t>
        </is>
      </c>
      <c r="C66" s="6" t="inlineStr">
        <is>
          <t>BD_008.005</t>
        </is>
      </c>
      <c r="D66" s="6" t="inlineStr">
        <is>
          <t>Năm ngoài khoảng 2000-2100</t>
        </is>
      </c>
      <c r="E66" s="6" t="inlineStr">
        <is>
          <t>P1</t>
        </is>
      </c>
      <c r="F66" s="6" t="inlineStr"/>
      <c r="G66" s="6" t="inlineStr">
        <is>
          <t>1. Gọi API với year = 1999</t>
        </is>
      </c>
      <c r="H66" s="6" t="inlineStr"/>
      <c r="I66" s="6" t="inlineStr"/>
      <c r="J66" s="6" t="inlineStr">
        <is>
          <t>Lỗi 422 validation</t>
        </is>
      </c>
      <c r="K66" s="6" t="inlineStr"/>
      <c r="L66" s="6" t="inlineStr">
        <is>
          <t>Not Executed</t>
        </is>
      </c>
      <c r="M66" s="6" t="inlineStr"/>
    </row>
  </sheetData>
  <mergeCells count="10">
    <mergeCell ref="C39:M39"/>
    <mergeCell ref="F1:I1"/>
    <mergeCell ref="C30:M30"/>
    <mergeCell ref="C7:M7"/>
    <mergeCell ref="A1:E1"/>
    <mergeCell ref="C55:M55"/>
    <mergeCell ref="C50:M50"/>
    <mergeCell ref="C44:M44"/>
    <mergeCell ref="C18:M18"/>
    <mergeCell ref="C61:M61"/>
  </mergeCells>
  <dataValidations count="1">
    <dataValidation sqref="L8:L500" showDropDown="0" showInputMessage="0" showErrorMessage="0" allowBlank="1" errorTitle="Giá trị không hợp lệ" error="Chọn 1 trong 4 giá trị"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2026-04-09T04:30:13Z</dcterms:created>
  <dcterms:modified xmlns:dcterms="http://purl.org/dc/terms/" xmlns:xsi="http://www.w3.org/2001/XMLSchema-instance" xsi:type="dcterms:W3CDTF">2026-04-09T04:30:13Z</dcterms:modified>
</cp:coreProperties>
</file>